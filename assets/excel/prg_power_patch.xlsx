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rl\Documents\Code Projects\sidekick\assets\excel\"/>
    </mc:Choice>
  </mc:AlternateContent>
  <xr:revisionPtr revIDLastSave="0" documentId="13_ncr:1_{D654E25E-F433-453C-95FB-99E4564166DD}" xr6:coauthVersionLast="47" xr6:coauthVersionMax="47" xr10:uidLastSave="{00000000-0000-0000-0000-000000000000}"/>
  <bookViews>
    <workbookView xWindow="-108" yWindow="-108" windowWidth="23256" windowHeight="13896" tabRatio="677" firstSheet="22" activeTab="19" xr2:uid="{EC85A60C-9087-F64E-BA1E-3D912CBABD33}"/>
  </bookViews>
  <sheets>
    <sheet name="Fixtures" sheetId="3" r:id="rId1"/>
    <sheet name="DMX" sheetId="18" r:id="rId2"/>
    <sheet name="SNEAK" sheetId="22" r:id="rId3"/>
    <sheet name="Parameters" sheetId="62" r:id="rId4"/>
    <sheet name="Fixture Types" sheetId="61" r:id="rId5"/>
    <sheet name="Color Lookup" sheetId="45" r:id="rId6"/>
    <sheet name="Power Patch" sheetId="43" r:id="rId7"/>
    <sheet name="Rack 1" sheetId="31" r:id="rId8"/>
    <sheet name="Rack 2" sheetId="35" r:id="rId9"/>
    <sheet name="Rack 3" sheetId="36" r:id="rId10"/>
    <sheet name="Rack 4" sheetId="37" r:id="rId11"/>
    <sheet name="Rack 5" sheetId="38" r:id="rId12"/>
    <sheet name="Rack 6" sheetId="51" r:id="rId13"/>
    <sheet name="Rack 7" sheetId="52" r:id="rId14"/>
    <sheet name="Rack 8" sheetId="53" r:id="rId15"/>
    <sheet name="Rack 9" sheetId="54" r:id="rId16"/>
    <sheet name="Rack 10" sheetId="55" r:id="rId17"/>
    <sheet name="48Way Dimmer" sheetId="33" r:id="rId18"/>
    <sheet name="48Way Distro" sheetId="34" r:id="rId19"/>
    <sheet name="96way Labels 1" sheetId="24" r:id="rId20"/>
    <sheet name="96way Labels 2" sheetId="46" r:id="rId21"/>
    <sheet name="96way Labels 3" sheetId="47" r:id="rId22"/>
    <sheet name="96way Labels 4" sheetId="48" r:id="rId23"/>
    <sheet name="96way Labels 5" sheetId="49" r:id="rId24"/>
    <sheet name="96way Labels 6" sheetId="56" r:id="rId25"/>
    <sheet name="96way Labels 7" sheetId="57" r:id="rId26"/>
    <sheet name="96way Labels 8" sheetId="58" r:id="rId27"/>
    <sheet name="96way Labels 9" sheetId="59" r:id="rId28"/>
    <sheet name="96way Labels 10" sheetId="60" r:id="rId29"/>
  </sheets>
  <definedNames>
    <definedName name="ACTIVE_ML">Fixtures!$H$6:$I$40</definedName>
    <definedName name="ActiveFixtureNames">Fixtures!$H$7:$H$103</definedName>
    <definedName name="ActiveFixtures">Fixtures!$H$7:$I$103</definedName>
    <definedName name="ColorLookup_Colors">'Color Lookup'!$B$2:$B$259</definedName>
    <definedName name="ColorLookup_MultiNames">'Color Lookup'!$A$2:$A$259</definedName>
    <definedName name="CON_fixturesamps">Fixtures!$K$6:$L$40</definedName>
    <definedName name="cwd">Parameters!$B$2</definedName>
    <definedName name="ExternalData_1" localSheetId="6" hidden="1">'Power Patch'!$A$1:$J$445</definedName>
    <definedName name="ExternalData_2" localSheetId="5" hidden="1">'Color Lookup'!$A$1:$B$84</definedName>
    <definedName name="ExternalData_3" localSheetId="4" hidden="1">'Fixture Types'!$A$1:$B$23</definedName>
    <definedName name="filename">Parameters!$B$3</definedName>
    <definedName name="ML_FixturesAmps">Fixtures!$B$6:$C$103</definedName>
    <definedName name="_xlnm.Print_Area" localSheetId="1">DMX!$A$1:$G$49</definedName>
    <definedName name="_xlnm.Print_Area" localSheetId="7">'Rack 1'!$A$1:$I$126</definedName>
    <definedName name="_xlnm.Print_Area" localSheetId="16">'Rack 10'!$A$1:$I$126</definedName>
    <definedName name="_xlnm.Print_Area" localSheetId="8">'Rack 2'!$A$1:$I$126</definedName>
    <definedName name="_xlnm.Print_Area" localSheetId="9">'Rack 3'!$A$1:$I$126</definedName>
    <definedName name="_xlnm.Print_Area" localSheetId="10">'Rack 4'!$A$1:$I$126</definedName>
    <definedName name="_xlnm.Print_Area" localSheetId="11">'Rack 5'!$A$1:$I$126</definedName>
    <definedName name="_xlnm.Print_Area" localSheetId="12">'Rack 6'!$A$1:$I$126</definedName>
    <definedName name="_xlnm.Print_Area" localSheetId="13">'Rack 7'!$A$1:$I$126</definedName>
    <definedName name="_xlnm.Print_Area" localSheetId="14">'Rack 8'!$A$1:$I$126</definedName>
    <definedName name="_xlnm.Print_Area" localSheetId="15">'Rack 9'!$A$1:$I$126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5" l="1"/>
  <c r="F4" i="36"/>
  <c r="F4" i="37"/>
  <c r="F4" i="38"/>
  <c r="F4" i="51"/>
  <c r="F4" i="52"/>
  <c r="F4" i="53"/>
  <c r="F4" i="54"/>
  <c r="F4" i="55"/>
  <c r="F4" i="31"/>
  <c r="D4" i="35"/>
  <c r="D4" i="36"/>
  <c r="D4" i="37"/>
  <c r="D4" i="38"/>
  <c r="D4" i="51"/>
  <c r="D4" i="52"/>
  <c r="D4" i="53"/>
  <c r="D4" i="54"/>
  <c r="D4" i="55"/>
  <c r="D4" i="31"/>
  <c r="B2" i="62" a="1"/>
  <c r="B2" i="62" s="1"/>
  <c r="E6" i="31"/>
  <c r="B77" i="31"/>
  <c r="D78" i="31" s="1"/>
  <c r="B70" i="31"/>
  <c r="B56" i="31"/>
  <c r="B49" i="31"/>
  <c r="C11" i="24" s="1"/>
  <c r="B38" i="24" s="1"/>
  <c r="B42" i="31"/>
  <c r="D46" i="31" s="1"/>
  <c r="B35" i="31"/>
  <c r="B28" i="31"/>
  <c r="B21" i="31"/>
  <c r="B14" i="31"/>
  <c r="D15" i="31" s="1"/>
  <c r="H41" i="3" a="1"/>
  <c r="H41" i="3" s="1"/>
  <c r="K123" i="55"/>
  <c r="F123" i="55" s="1"/>
  <c r="H32" i="60" s="1"/>
  <c r="K122" i="55"/>
  <c r="E122" i="55" s="1"/>
  <c r="K121" i="55"/>
  <c r="E121" i="55" s="1"/>
  <c r="K120" i="55"/>
  <c r="F120" i="55" s="1"/>
  <c r="E32" i="60" s="1"/>
  <c r="K119" i="55"/>
  <c r="F119" i="55" s="1"/>
  <c r="D32" i="60" s="1"/>
  <c r="K118" i="55"/>
  <c r="B119" i="55" s="1"/>
  <c r="C28" i="60" s="1"/>
  <c r="B44" i="60" s="1"/>
  <c r="K117" i="55"/>
  <c r="K116" i="55"/>
  <c r="F116" i="55" s="1"/>
  <c r="T26" i="60" s="1"/>
  <c r="K115" i="55"/>
  <c r="F115" i="55" s="1"/>
  <c r="S26" i="60" s="1"/>
  <c r="K114" i="55"/>
  <c r="K113" i="55"/>
  <c r="F113" i="55" s="1"/>
  <c r="Q26" i="60" s="1"/>
  <c r="K112" i="55"/>
  <c r="E112" i="55" s="1"/>
  <c r="K111" i="55"/>
  <c r="G111" i="55" s="1"/>
  <c r="K110" i="55"/>
  <c r="K109" i="55"/>
  <c r="K108" i="55"/>
  <c r="F108" i="55" s="1"/>
  <c r="M26" i="60" s="1"/>
  <c r="K107" i="55"/>
  <c r="F107" i="55"/>
  <c r="L26" i="60" s="1"/>
  <c r="E107" i="55"/>
  <c r="K106" i="55"/>
  <c r="E106" i="55" s="1"/>
  <c r="K105" i="55"/>
  <c r="F105" i="55" s="1"/>
  <c r="J26" i="60" s="1"/>
  <c r="K104" i="55"/>
  <c r="B105" i="55" s="1"/>
  <c r="I22" i="60" s="1"/>
  <c r="E42" i="60" s="1"/>
  <c r="K103" i="55"/>
  <c r="K102" i="55"/>
  <c r="E102" i="55" s="1"/>
  <c r="K101" i="55"/>
  <c r="F101" i="55" s="1"/>
  <c r="G26" i="60" s="1"/>
  <c r="K100" i="55"/>
  <c r="F100" i="55" s="1"/>
  <c r="F26" i="60" s="1"/>
  <c r="E100" i="55"/>
  <c r="F24" i="60" s="1"/>
  <c r="K99" i="55"/>
  <c r="K98" i="55"/>
  <c r="F98" i="55" s="1"/>
  <c r="D26" i="60" s="1"/>
  <c r="E98" i="55"/>
  <c r="K97" i="55"/>
  <c r="G97" i="55" s="1"/>
  <c r="K96" i="55"/>
  <c r="K95" i="55"/>
  <c r="E95" i="55" s="1"/>
  <c r="K94" i="55"/>
  <c r="E94" i="55" s="1"/>
  <c r="S19" i="60" s="1"/>
  <c r="F94" i="55"/>
  <c r="S21" i="60" s="1"/>
  <c r="K93" i="55"/>
  <c r="E93" i="55" s="1"/>
  <c r="K92" i="55"/>
  <c r="F92" i="55" s="1"/>
  <c r="Q21" i="60" s="1"/>
  <c r="K91" i="55"/>
  <c r="E91" i="55" s="1"/>
  <c r="F91" i="55"/>
  <c r="P21" i="60" s="1"/>
  <c r="K90" i="55"/>
  <c r="F90" i="55" s="1"/>
  <c r="O21" i="60" s="1"/>
  <c r="K89" i="55"/>
  <c r="K88" i="55"/>
  <c r="E88" i="55" s="1"/>
  <c r="K87" i="55"/>
  <c r="F87" i="55" s="1"/>
  <c r="M21" i="60" s="1"/>
  <c r="K86" i="55"/>
  <c r="K85" i="55"/>
  <c r="E85" i="55" s="1"/>
  <c r="K84" i="55"/>
  <c r="E84" i="55" s="1"/>
  <c r="K83" i="55"/>
  <c r="F83" i="55" s="1"/>
  <c r="I21" i="60" s="1"/>
  <c r="K82" i="55"/>
  <c r="K81" i="55"/>
  <c r="K80" i="55"/>
  <c r="F80" i="55" s="1"/>
  <c r="G21" i="60" s="1"/>
  <c r="K79" i="55"/>
  <c r="F79" i="55" s="1"/>
  <c r="F21" i="60" s="1"/>
  <c r="K78" i="55"/>
  <c r="E78" i="55" s="1"/>
  <c r="K77" i="55"/>
  <c r="F77" i="55" s="1"/>
  <c r="D21" i="60" s="1"/>
  <c r="B77" i="55"/>
  <c r="C17" i="60" s="1"/>
  <c r="B40" i="60" s="1"/>
  <c r="K76" i="55"/>
  <c r="G76" i="55" s="1"/>
  <c r="F76" i="55"/>
  <c r="C21" i="60" s="1"/>
  <c r="K75" i="55"/>
  <c r="K74" i="55"/>
  <c r="F74" i="55" s="1"/>
  <c r="T16" i="60" s="1"/>
  <c r="K73" i="55"/>
  <c r="F73" i="55"/>
  <c r="S16" i="60" s="1"/>
  <c r="E73" i="55"/>
  <c r="K72" i="55"/>
  <c r="F72" i="55" s="1"/>
  <c r="R16" i="60" s="1"/>
  <c r="K71" i="55"/>
  <c r="K70" i="55"/>
  <c r="F70" i="55" s="1"/>
  <c r="P16" i="60" s="1"/>
  <c r="K69" i="55"/>
  <c r="G69" i="55" s="1"/>
  <c r="K68" i="55"/>
  <c r="K67" i="55"/>
  <c r="K66" i="55"/>
  <c r="D66" i="55"/>
  <c r="K65" i="55"/>
  <c r="D65" i="55"/>
  <c r="K64" i="55"/>
  <c r="K63" i="55"/>
  <c r="K62" i="55"/>
  <c r="K61" i="55"/>
  <c r="K60" i="55"/>
  <c r="E60" i="55" s="1"/>
  <c r="K59" i="55"/>
  <c r="E59" i="55" s="1"/>
  <c r="K58" i="55"/>
  <c r="E58" i="55" s="1"/>
  <c r="L13" i="60" s="1"/>
  <c r="K57" i="55"/>
  <c r="F57" i="55" s="1"/>
  <c r="K16" i="60" s="1"/>
  <c r="K56" i="55"/>
  <c r="F56" i="55" s="1"/>
  <c r="J16" i="60" s="1"/>
  <c r="E56" i="55"/>
  <c r="K55" i="55"/>
  <c r="E55" i="55" s="1"/>
  <c r="K54" i="55"/>
  <c r="K53" i="55"/>
  <c r="F53" i="55" s="1"/>
  <c r="H16" i="60" s="1"/>
  <c r="K52" i="55"/>
  <c r="F52" i="55" s="1"/>
  <c r="G16" i="60" s="1"/>
  <c r="K51" i="55"/>
  <c r="F51" i="55" s="1"/>
  <c r="F16" i="60" s="1"/>
  <c r="K50" i="55"/>
  <c r="F50" i="55" s="1"/>
  <c r="E16" i="60" s="1"/>
  <c r="K49" i="55"/>
  <c r="E49" i="55" s="1"/>
  <c r="D13" i="60" s="1"/>
  <c r="K48" i="55"/>
  <c r="G48" i="55" s="1"/>
  <c r="K47" i="55"/>
  <c r="K46" i="55"/>
  <c r="K45" i="55"/>
  <c r="F45" i="55" s="1"/>
  <c r="S10" i="60" s="1"/>
  <c r="K44" i="55"/>
  <c r="F44" i="55" s="1"/>
  <c r="R10" i="60" s="1"/>
  <c r="E44" i="55"/>
  <c r="R8" i="60" s="1"/>
  <c r="K43" i="55"/>
  <c r="F43" i="55" s="1"/>
  <c r="Q10" i="60" s="1"/>
  <c r="K42" i="55"/>
  <c r="F42" i="55" s="1"/>
  <c r="P10" i="60" s="1"/>
  <c r="B42" i="55"/>
  <c r="O6" i="60" s="1"/>
  <c r="J36" i="60" s="1"/>
  <c r="K41" i="55"/>
  <c r="G41" i="55" s="1"/>
  <c r="F41" i="55"/>
  <c r="O10" i="60" s="1"/>
  <c r="K40" i="55"/>
  <c r="K39" i="55"/>
  <c r="F39" i="55" s="1"/>
  <c r="N10" i="60" s="1"/>
  <c r="K38" i="55"/>
  <c r="F38" i="55"/>
  <c r="M10" i="60" s="1"/>
  <c r="E38" i="55"/>
  <c r="K37" i="55"/>
  <c r="F37" i="55" s="1"/>
  <c r="L10" i="60" s="1"/>
  <c r="K36" i="55"/>
  <c r="K35" i="55"/>
  <c r="F35" i="55" s="1"/>
  <c r="J10" i="60" s="1"/>
  <c r="K34" i="55"/>
  <c r="G34" i="55" s="1"/>
  <c r="K33" i="55"/>
  <c r="K32" i="55"/>
  <c r="K31" i="55"/>
  <c r="E31" i="55" s="1"/>
  <c r="F31" i="55"/>
  <c r="G10" i="60" s="1"/>
  <c r="K30" i="55"/>
  <c r="E30" i="55" s="1"/>
  <c r="F8" i="60" s="1"/>
  <c r="K29" i="55"/>
  <c r="F29" i="55" s="1"/>
  <c r="E10" i="60" s="1"/>
  <c r="K28" i="55"/>
  <c r="E28" i="55" s="1"/>
  <c r="K27" i="55"/>
  <c r="F27" i="55" s="1"/>
  <c r="C10" i="60" s="1"/>
  <c r="K26" i="55"/>
  <c r="K25" i="55"/>
  <c r="F25" i="55" s="1"/>
  <c r="T5" i="60" s="1"/>
  <c r="K24" i="55"/>
  <c r="F24" i="55" s="1"/>
  <c r="S5" i="60" s="1"/>
  <c r="E24" i="55"/>
  <c r="K23" i="55"/>
  <c r="F23" i="55" s="1"/>
  <c r="R5" i="60" s="1"/>
  <c r="K22" i="55"/>
  <c r="F22" i="55" s="1"/>
  <c r="Q5" i="60" s="1"/>
  <c r="K21" i="55"/>
  <c r="E21" i="55" s="1"/>
  <c r="K20" i="55"/>
  <c r="G20" i="55" s="1"/>
  <c r="K19" i="55"/>
  <c r="K18" i="55"/>
  <c r="K17" i="55"/>
  <c r="F17" i="55" s="1"/>
  <c r="M5" i="60" s="1"/>
  <c r="K16" i="55"/>
  <c r="F16" i="55" s="1"/>
  <c r="L5" i="60" s="1"/>
  <c r="K15" i="55"/>
  <c r="E15" i="55" s="1"/>
  <c r="F15" i="55"/>
  <c r="K5" i="60" s="1"/>
  <c r="K14" i="55"/>
  <c r="F14" i="55" s="1"/>
  <c r="J5" i="60" s="1"/>
  <c r="K13" i="55"/>
  <c r="E13" i="55" s="1"/>
  <c r="K12" i="55"/>
  <c r="K11" i="55"/>
  <c r="K10" i="55"/>
  <c r="E10" i="55" s="1"/>
  <c r="K9" i="55"/>
  <c r="F9" i="55" s="1"/>
  <c r="F5" i="60" s="1"/>
  <c r="K8" i="55"/>
  <c r="K7" i="55"/>
  <c r="F7" i="55" s="1"/>
  <c r="D5" i="60" s="1"/>
  <c r="E7" i="55"/>
  <c r="B7" i="55"/>
  <c r="D10" i="55" s="1"/>
  <c r="K6" i="55"/>
  <c r="G6" i="55" s="1"/>
  <c r="D2" i="55"/>
  <c r="K123" i="54"/>
  <c r="F123" i="54" s="1"/>
  <c r="H32" i="59" s="1"/>
  <c r="K122" i="54"/>
  <c r="F122" i="54" s="1"/>
  <c r="G32" i="59" s="1"/>
  <c r="K121" i="54"/>
  <c r="F121" i="54" s="1"/>
  <c r="F32" i="59" s="1"/>
  <c r="K120" i="54"/>
  <c r="K119" i="54"/>
  <c r="F119" i="54" s="1"/>
  <c r="D32" i="59" s="1"/>
  <c r="K118" i="54"/>
  <c r="G118" i="54" s="1"/>
  <c r="K117" i="54"/>
  <c r="K116" i="54"/>
  <c r="F116" i="54" s="1"/>
  <c r="T26" i="59" s="1"/>
  <c r="K115" i="54"/>
  <c r="E115" i="54" s="1"/>
  <c r="S24" i="59" s="1"/>
  <c r="F115" i="54"/>
  <c r="S26" i="59" s="1"/>
  <c r="K114" i="54"/>
  <c r="E114" i="54" s="1"/>
  <c r="K113" i="54"/>
  <c r="F113" i="54" s="1"/>
  <c r="Q26" i="59" s="1"/>
  <c r="K112" i="54"/>
  <c r="F112" i="54" s="1"/>
  <c r="P26" i="59" s="1"/>
  <c r="K111" i="54"/>
  <c r="B112" i="54" s="1"/>
  <c r="D113" i="54" s="1"/>
  <c r="K110" i="54"/>
  <c r="K109" i="54"/>
  <c r="F109" i="54" s="1"/>
  <c r="N26" i="59" s="1"/>
  <c r="K108" i="54"/>
  <c r="F108" i="54" s="1"/>
  <c r="M26" i="59" s="1"/>
  <c r="K107" i="54"/>
  <c r="F107" i="54" s="1"/>
  <c r="L26" i="59" s="1"/>
  <c r="K106" i="54"/>
  <c r="F106" i="54" s="1"/>
  <c r="K26" i="59" s="1"/>
  <c r="K105" i="54"/>
  <c r="E105" i="54" s="1"/>
  <c r="K104" i="54"/>
  <c r="G104" i="54" s="1"/>
  <c r="K103" i="54"/>
  <c r="K102" i="54"/>
  <c r="K101" i="54"/>
  <c r="F101" i="54" s="1"/>
  <c r="G26" i="59" s="1"/>
  <c r="K100" i="54"/>
  <c r="F100" i="54" s="1"/>
  <c r="F26" i="59" s="1"/>
  <c r="E100" i="54"/>
  <c r="K99" i="54"/>
  <c r="F99" i="54" s="1"/>
  <c r="E26" i="59" s="1"/>
  <c r="K98" i="54"/>
  <c r="E98" i="54" s="1"/>
  <c r="F98" i="54"/>
  <c r="D26" i="59" s="1"/>
  <c r="K97" i="54"/>
  <c r="G97" i="54" s="1"/>
  <c r="K96" i="54"/>
  <c r="K95" i="54"/>
  <c r="F95" i="54" s="1"/>
  <c r="T21" i="59" s="1"/>
  <c r="K94" i="54"/>
  <c r="F94" i="54" s="1"/>
  <c r="S21" i="59" s="1"/>
  <c r="K93" i="54"/>
  <c r="F93" i="54" s="1"/>
  <c r="R21" i="59" s="1"/>
  <c r="K92" i="54"/>
  <c r="K91" i="54"/>
  <c r="F91" i="54" s="1"/>
  <c r="P21" i="59" s="1"/>
  <c r="K90" i="54"/>
  <c r="K89" i="54"/>
  <c r="K88" i="54"/>
  <c r="E88" i="54" s="1"/>
  <c r="F88" i="54"/>
  <c r="N21" i="59" s="1"/>
  <c r="K87" i="54"/>
  <c r="E87" i="54" s="1"/>
  <c r="M19" i="59" s="1"/>
  <c r="K86" i="54"/>
  <c r="K85" i="54"/>
  <c r="F85" i="54" s="1"/>
  <c r="K21" i="59" s="1"/>
  <c r="K84" i="54"/>
  <c r="F84" i="54" s="1"/>
  <c r="J21" i="59" s="1"/>
  <c r="K83" i="54"/>
  <c r="B84" i="54" s="1"/>
  <c r="D83" i="54" s="1"/>
  <c r="K82" i="54"/>
  <c r="K81" i="54"/>
  <c r="F81" i="54" s="1"/>
  <c r="H21" i="59" s="1"/>
  <c r="K80" i="54"/>
  <c r="K79" i="54"/>
  <c r="F79" i="54" s="1"/>
  <c r="F21" i="59" s="1"/>
  <c r="K78" i="54"/>
  <c r="F78" i="54" s="1"/>
  <c r="E21" i="59" s="1"/>
  <c r="K77" i="54"/>
  <c r="K76" i="54"/>
  <c r="G76" i="54" s="1"/>
  <c r="F76" i="54"/>
  <c r="C21" i="59" s="1"/>
  <c r="K75" i="54"/>
  <c r="K74" i="54"/>
  <c r="K73" i="54"/>
  <c r="F73" i="54" s="1"/>
  <c r="S16" i="59" s="1"/>
  <c r="K72" i="54"/>
  <c r="E72" i="54" s="1"/>
  <c r="K71" i="54"/>
  <c r="F71" i="54" s="1"/>
  <c r="Q16" i="59" s="1"/>
  <c r="K70" i="54"/>
  <c r="K69" i="54"/>
  <c r="B70" i="54" s="1"/>
  <c r="O11" i="59" s="1"/>
  <c r="J38" i="59" s="1"/>
  <c r="G69" i="54"/>
  <c r="K68" i="54"/>
  <c r="K67" i="54"/>
  <c r="K66" i="54"/>
  <c r="D66" i="54"/>
  <c r="K65" i="54"/>
  <c r="D65" i="54"/>
  <c r="K64" i="54"/>
  <c r="K63" i="54"/>
  <c r="K62" i="54"/>
  <c r="K61" i="54"/>
  <c r="K60" i="54"/>
  <c r="K59" i="54"/>
  <c r="F59" i="54"/>
  <c r="M16" i="59" s="1"/>
  <c r="E59" i="54"/>
  <c r="K58" i="54"/>
  <c r="E58" i="54" s="1"/>
  <c r="K57" i="54"/>
  <c r="K56" i="54"/>
  <c r="F56" i="54" s="1"/>
  <c r="J16" i="59" s="1"/>
  <c r="K55" i="54"/>
  <c r="K54" i="54"/>
  <c r="K53" i="54"/>
  <c r="F53" i="54" s="1"/>
  <c r="H16" i="59" s="1"/>
  <c r="K52" i="54"/>
  <c r="K51" i="54"/>
  <c r="E51" i="54" s="1"/>
  <c r="K50" i="54"/>
  <c r="F50" i="54" s="1"/>
  <c r="E16" i="59" s="1"/>
  <c r="K49" i="54"/>
  <c r="F49" i="54" s="1"/>
  <c r="D16" i="59" s="1"/>
  <c r="K48" i="54"/>
  <c r="B49" i="54" s="1"/>
  <c r="D52" i="54" s="1"/>
  <c r="K47" i="54"/>
  <c r="K46" i="54"/>
  <c r="F46" i="54" s="1"/>
  <c r="T10" i="59" s="1"/>
  <c r="E46" i="54"/>
  <c r="T8" i="59" s="1"/>
  <c r="K45" i="54"/>
  <c r="K44" i="54"/>
  <c r="F44" i="54" s="1"/>
  <c r="R10" i="59" s="1"/>
  <c r="K43" i="54"/>
  <c r="E43" i="54" s="1"/>
  <c r="K42" i="54"/>
  <c r="E42" i="54" s="1"/>
  <c r="K41" i="54"/>
  <c r="G41" i="54" s="1"/>
  <c r="K40" i="54"/>
  <c r="K39" i="54"/>
  <c r="K38" i="54"/>
  <c r="F38" i="54" s="1"/>
  <c r="M10" i="59" s="1"/>
  <c r="K37" i="54"/>
  <c r="E37" i="54" s="1"/>
  <c r="K36" i="54"/>
  <c r="F36" i="54" s="1"/>
  <c r="K10" i="59" s="1"/>
  <c r="K35" i="54"/>
  <c r="F35" i="54" s="1"/>
  <c r="J10" i="59" s="1"/>
  <c r="E35" i="54"/>
  <c r="K34" i="54"/>
  <c r="G34" i="54" s="1"/>
  <c r="F34" i="54"/>
  <c r="I10" i="59" s="1"/>
  <c r="E34" i="54"/>
  <c r="K33" i="54"/>
  <c r="K32" i="54"/>
  <c r="F32" i="54" s="1"/>
  <c r="H10" i="59" s="1"/>
  <c r="K31" i="54"/>
  <c r="F31" i="54" s="1"/>
  <c r="G10" i="59" s="1"/>
  <c r="K30" i="54"/>
  <c r="E30" i="54" s="1"/>
  <c r="F30" i="54"/>
  <c r="F10" i="59" s="1"/>
  <c r="K29" i="54"/>
  <c r="E29" i="54" s="1"/>
  <c r="K28" i="54"/>
  <c r="F28" i="54" s="1"/>
  <c r="D10" i="59" s="1"/>
  <c r="K27" i="54"/>
  <c r="E27" i="54" s="1"/>
  <c r="C8" i="59" s="1"/>
  <c r="G27" i="54"/>
  <c r="F27" i="54"/>
  <c r="C10" i="59" s="1"/>
  <c r="K26" i="54"/>
  <c r="K25" i="54"/>
  <c r="F25" i="54" s="1"/>
  <c r="T5" i="59" s="1"/>
  <c r="E25" i="54"/>
  <c r="K24" i="54"/>
  <c r="F24" i="54" s="1"/>
  <c r="S5" i="59" s="1"/>
  <c r="E24" i="54"/>
  <c r="K23" i="54"/>
  <c r="E23" i="54" s="1"/>
  <c r="R3" i="59" s="1"/>
  <c r="K22" i="54"/>
  <c r="E22" i="54" s="1"/>
  <c r="F22" i="54"/>
  <c r="Q5" i="59" s="1"/>
  <c r="K21" i="54"/>
  <c r="F21" i="54" s="1"/>
  <c r="P5" i="59" s="1"/>
  <c r="K20" i="54"/>
  <c r="G20" i="54" s="1"/>
  <c r="K19" i="54"/>
  <c r="K18" i="54"/>
  <c r="E18" i="54" s="1"/>
  <c r="K17" i="54"/>
  <c r="E17" i="54" s="1"/>
  <c r="F17" i="54"/>
  <c r="M5" i="59" s="1"/>
  <c r="K16" i="54"/>
  <c r="F16" i="54" s="1"/>
  <c r="L5" i="59" s="1"/>
  <c r="E16" i="54"/>
  <c r="K15" i="54"/>
  <c r="F15" i="54" s="1"/>
  <c r="K5" i="59" s="1"/>
  <c r="E15" i="54"/>
  <c r="K14" i="54"/>
  <c r="E14" i="54" s="1"/>
  <c r="J3" i="59" s="1"/>
  <c r="K13" i="54"/>
  <c r="K12" i="54"/>
  <c r="K11" i="54"/>
  <c r="E11" i="54" s="1"/>
  <c r="H3" i="59" s="1"/>
  <c r="K10" i="54"/>
  <c r="F10" i="54" s="1"/>
  <c r="G5" i="59" s="1"/>
  <c r="K9" i="54"/>
  <c r="K8" i="54"/>
  <c r="F8" i="54" s="1"/>
  <c r="E5" i="59" s="1"/>
  <c r="K7" i="54"/>
  <c r="E7" i="54" s="1"/>
  <c r="D3" i="59" s="1"/>
  <c r="F7" i="54"/>
  <c r="D5" i="59" s="1"/>
  <c r="K6" i="54"/>
  <c r="G6" i="54" s="1"/>
  <c r="E6" i="54"/>
  <c r="D2" i="54"/>
  <c r="K123" i="53"/>
  <c r="K122" i="53"/>
  <c r="F122" i="53" s="1"/>
  <c r="G32" i="58" s="1"/>
  <c r="K121" i="53"/>
  <c r="F121" i="53" s="1"/>
  <c r="F32" i="58" s="1"/>
  <c r="K120" i="53"/>
  <c r="F120" i="53" s="1"/>
  <c r="E32" i="58" s="1"/>
  <c r="K119" i="53"/>
  <c r="E119" i="53" s="1"/>
  <c r="K118" i="53"/>
  <c r="K117" i="53"/>
  <c r="K116" i="53"/>
  <c r="E116" i="53" s="1"/>
  <c r="K115" i="53"/>
  <c r="F115" i="53" s="1"/>
  <c r="S26" i="58" s="1"/>
  <c r="K114" i="53"/>
  <c r="F114" i="53" s="1"/>
  <c r="R26" i="58" s="1"/>
  <c r="K113" i="53"/>
  <c r="E113" i="53" s="1"/>
  <c r="F113" i="53"/>
  <c r="Q26" i="58" s="1"/>
  <c r="K112" i="53"/>
  <c r="F112" i="53" s="1"/>
  <c r="P26" i="58" s="1"/>
  <c r="E112" i="53"/>
  <c r="P24" i="58" s="1"/>
  <c r="K111" i="53"/>
  <c r="F111" i="53" s="1"/>
  <c r="O26" i="58" s="1"/>
  <c r="K110" i="53"/>
  <c r="K109" i="53"/>
  <c r="E109" i="53" s="1"/>
  <c r="N24" i="58" s="1"/>
  <c r="K108" i="53"/>
  <c r="F108" i="53" s="1"/>
  <c r="M26" i="58" s="1"/>
  <c r="K107" i="53"/>
  <c r="F107" i="53" s="1"/>
  <c r="L26" i="58" s="1"/>
  <c r="E107" i="53"/>
  <c r="K106" i="53"/>
  <c r="E106" i="53" s="1"/>
  <c r="K105" i="53"/>
  <c r="B105" i="53"/>
  <c r="D107" i="53" s="1"/>
  <c r="K104" i="53"/>
  <c r="F104" i="53" s="1"/>
  <c r="I26" i="58" s="1"/>
  <c r="E104" i="53"/>
  <c r="K103" i="53"/>
  <c r="K102" i="53"/>
  <c r="F102" i="53" s="1"/>
  <c r="H26" i="58" s="1"/>
  <c r="K101" i="53"/>
  <c r="K100" i="53"/>
  <c r="E100" i="53" s="1"/>
  <c r="K99" i="53"/>
  <c r="E99" i="53" s="1"/>
  <c r="E24" i="58" s="1"/>
  <c r="K98" i="53"/>
  <c r="F98" i="53" s="1"/>
  <c r="D26" i="58" s="1"/>
  <c r="B98" i="53"/>
  <c r="D98" i="53" s="1"/>
  <c r="K97" i="53"/>
  <c r="F97" i="53" s="1"/>
  <c r="C26" i="58" s="1"/>
  <c r="G97" i="53"/>
  <c r="E97" i="53"/>
  <c r="C24" i="58" s="1"/>
  <c r="K96" i="53"/>
  <c r="K95" i="53"/>
  <c r="K94" i="53"/>
  <c r="F94" i="53" s="1"/>
  <c r="S21" i="58" s="1"/>
  <c r="E94" i="53"/>
  <c r="K93" i="53"/>
  <c r="F93" i="53" s="1"/>
  <c r="R21" i="58" s="1"/>
  <c r="K92" i="53"/>
  <c r="F92" i="53" s="1"/>
  <c r="Q21" i="58" s="1"/>
  <c r="K91" i="53"/>
  <c r="F91" i="53" s="1"/>
  <c r="P21" i="58" s="1"/>
  <c r="B91" i="53"/>
  <c r="O17" i="58" s="1"/>
  <c r="J40" i="58" s="1"/>
  <c r="K90" i="53"/>
  <c r="F90" i="53" s="1"/>
  <c r="O21" i="58" s="1"/>
  <c r="G90" i="53"/>
  <c r="E90" i="53"/>
  <c r="O19" i="58" s="1"/>
  <c r="K89" i="53"/>
  <c r="K88" i="53"/>
  <c r="F88" i="53" s="1"/>
  <c r="N21" i="58" s="1"/>
  <c r="E88" i="53"/>
  <c r="N19" i="58" s="1"/>
  <c r="K87" i="53"/>
  <c r="E87" i="53" s="1"/>
  <c r="K86" i="53"/>
  <c r="K85" i="53"/>
  <c r="E85" i="53" s="1"/>
  <c r="K84" i="53"/>
  <c r="E84" i="53" s="1"/>
  <c r="F84" i="53"/>
  <c r="J21" i="58" s="1"/>
  <c r="K83" i="53"/>
  <c r="B84" i="53" s="1"/>
  <c r="D85" i="53" s="1"/>
  <c r="G83" i="53"/>
  <c r="K82" i="53"/>
  <c r="K81" i="53"/>
  <c r="E81" i="53" s="1"/>
  <c r="H19" i="58" s="1"/>
  <c r="K80" i="53"/>
  <c r="F80" i="53" s="1"/>
  <c r="G21" i="58" s="1"/>
  <c r="E80" i="53"/>
  <c r="K79" i="53"/>
  <c r="F79" i="53" s="1"/>
  <c r="F21" i="58" s="1"/>
  <c r="E79" i="53"/>
  <c r="K78" i="53"/>
  <c r="F78" i="53"/>
  <c r="E21" i="58" s="1"/>
  <c r="E78" i="53"/>
  <c r="E19" i="58" s="1"/>
  <c r="K77" i="53"/>
  <c r="E77" i="53" s="1"/>
  <c r="D19" i="58" s="1"/>
  <c r="F77" i="53"/>
  <c r="D21" i="58" s="1"/>
  <c r="K76" i="53"/>
  <c r="K75" i="53"/>
  <c r="K74" i="53"/>
  <c r="F74" i="53" s="1"/>
  <c r="T16" i="58" s="1"/>
  <c r="K73" i="53"/>
  <c r="F73" i="53" s="1"/>
  <c r="S16" i="58" s="1"/>
  <c r="K72" i="53"/>
  <c r="E72" i="53" s="1"/>
  <c r="F72" i="53"/>
  <c r="R16" i="58" s="1"/>
  <c r="K71" i="53"/>
  <c r="E71" i="53" s="1"/>
  <c r="F71" i="53"/>
  <c r="Q16" i="58" s="1"/>
  <c r="K70" i="53"/>
  <c r="E70" i="53" s="1"/>
  <c r="B70" i="53"/>
  <c r="D74" i="53" s="1"/>
  <c r="K69" i="53"/>
  <c r="G69" i="53"/>
  <c r="F69" i="53"/>
  <c r="O16" i="58" s="1"/>
  <c r="E69" i="53"/>
  <c r="O13" i="58" s="1"/>
  <c r="K68" i="53"/>
  <c r="K67" i="53"/>
  <c r="K66" i="53"/>
  <c r="D66" i="53"/>
  <c r="K65" i="53"/>
  <c r="D65" i="53"/>
  <c r="K64" i="53"/>
  <c r="K63" i="53"/>
  <c r="K62" i="53"/>
  <c r="K61" i="53"/>
  <c r="K60" i="53"/>
  <c r="F60" i="53" s="1"/>
  <c r="N16" i="58" s="1"/>
  <c r="K59" i="53"/>
  <c r="F59" i="53" s="1"/>
  <c r="M16" i="58" s="1"/>
  <c r="K58" i="53"/>
  <c r="F58" i="53" s="1"/>
  <c r="L16" i="58" s="1"/>
  <c r="E58" i="53"/>
  <c r="L13" i="58" s="1"/>
  <c r="K57" i="53"/>
  <c r="K56" i="53"/>
  <c r="E56" i="53" s="1"/>
  <c r="F56" i="53"/>
  <c r="J16" i="58" s="1"/>
  <c r="K55" i="53"/>
  <c r="G55" i="53" s="1"/>
  <c r="K54" i="53"/>
  <c r="K53" i="53"/>
  <c r="F53" i="53" s="1"/>
  <c r="H16" i="58" s="1"/>
  <c r="K52" i="53"/>
  <c r="E52" i="53" s="1"/>
  <c r="G13" i="58" s="1"/>
  <c r="K51" i="53"/>
  <c r="F51" i="53" s="1"/>
  <c r="F16" i="58" s="1"/>
  <c r="E51" i="53"/>
  <c r="F13" i="58" s="1"/>
  <c r="K50" i="53"/>
  <c r="F50" i="53"/>
  <c r="E16" i="58" s="1"/>
  <c r="E50" i="53"/>
  <c r="K49" i="53"/>
  <c r="E49" i="53" s="1"/>
  <c r="F49" i="53"/>
  <c r="D16" i="58" s="1"/>
  <c r="K48" i="53"/>
  <c r="B49" i="53" s="1"/>
  <c r="D50" i="53" s="1"/>
  <c r="F48" i="53"/>
  <c r="C16" i="58" s="1"/>
  <c r="K47" i="53"/>
  <c r="K46" i="53"/>
  <c r="E46" i="53" s="1"/>
  <c r="F46" i="53"/>
  <c r="T10" i="58" s="1"/>
  <c r="K45" i="53"/>
  <c r="E45" i="53" s="1"/>
  <c r="S8" i="58" s="1"/>
  <c r="K44" i="53"/>
  <c r="F44" i="53" s="1"/>
  <c r="R10" i="58" s="1"/>
  <c r="E44" i="53"/>
  <c r="K43" i="53"/>
  <c r="E43" i="53" s="1"/>
  <c r="K42" i="53"/>
  <c r="E42" i="53" s="1"/>
  <c r="K41" i="53"/>
  <c r="G41" i="53" s="1"/>
  <c r="K40" i="53"/>
  <c r="K39" i="53"/>
  <c r="F39" i="53" s="1"/>
  <c r="N10" i="58" s="1"/>
  <c r="E39" i="53"/>
  <c r="K38" i="53"/>
  <c r="E38" i="53" s="1"/>
  <c r="M8" i="58" s="1"/>
  <c r="K37" i="53"/>
  <c r="F37" i="53" s="1"/>
  <c r="L10" i="58" s="1"/>
  <c r="K36" i="53"/>
  <c r="E36" i="53" s="1"/>
  <c r="F36" i="53"/>
  <c r="K10" i="58" s="1"/>
  <c r="K35" i="53"/>
  <c r="F35" i="53" s="1"/>
  <c r="J10" i="58" s="1"/>
  <c r="E35" i="53"/>
  <c r="K34" i="53"/>
  <c r="B35" i="53" s="1"/>
  <c r="I6" i="58" s="1"/>
  <c r="E36" i="58" s="1"/>
  <c r="F34" i="53"/>
  <c r="I10" i="58" s="1"/>
  <c r="E34" i="53"/>
  <c r="I8" i="58" s="1"/>
  <c r="K33" i="53"/>
  <c r="K32" i="53"/>
  <c r="K31" i="53"/>
  <c r="F31" i="53"/>
  <c r="G10" i="58" s="1"/>
  <c r="E31" i="53"/>
  <c r="K30" i="53"/>
  <c r="E30" i="53" s="1"/>
  <c r="F30" i="53"/>
  <c r="F10" i="58" s="1"/>
  <c r="K29" i="53"/>
  <c r="F29" i="53" s="1"/>
  <c r="E10" i="58" s="1"/>
  <c r="E29" i="53"/>
  <c r="E8" i="58" s="1"/>
  <c r="K28" i="53"/>
  <c r="F28" i="53" s="1"/>
  <c r="D10" i="58" s="1"/>
  <c r="K27" i="53"/>
  <c r="F27" i="53" s="1"/>
  <c r="C10" i="58" s="1"/>
  <c r="K26" i="53"/>
  <c r="K25" i="53"/>
  <c r="F25" i="53" s="1"/>
  <c r="T5" i="58" s="1"/>
  <c r="K24" i="53"/>
  <c r="E24" i="53" s="1"/>
  <c r="K23" i="53"/>
  <c r="F23" i="53" s="1"/>
  <c r="R5" i="58" s="1"/>
  <c r="K22" i="53"/>
  <c r="F22" i="53"/>
  <c r="Q5" i="58" s="1"/>
  <c r="E22" i="53"/>
  <c r="Q3" i="58" s="1"/>
  <c r="K21" i="53"/>
  <c r="E21" i="53" s="1"/>
  <c r="P3" i="58" s="1"/>
  <c r="F21" i="53"/>
  <c r="P5" i="58" s="1"/>
  <c r="K20" i="53"/>
  <c r="K19" i="53"/>
  <c r="K18" i="53"/>
  <c r="F18" i="53" s="1"/>
  <c r="N5" i="58" s="1"/>
  <c r="K17" i="53"/>
  <c r="F17" i="53" s="1"/>
  <c r="M5" i="58" s="1"/>
  <c r="K16" i="53"/>
  <c r="F16" i="53" s="1"/>
  <c r="L5" i="58" s="1"/>
  <c r="E16" i="53"/>
  <c r="K15" i="53"/>
  <c r="F15" i="53" s="1"/>
  <c r="K5" i="58" s="1"/>
  <c r="K14" i="53"/>
  <c r="E14" i="53" s="1"/>
  <c r="J3" i="58" s="1"/>
  <c r="F14" i="53"/>
  <c r="J5" i="58" s="1"/>
  <c r="K13" i="53"/>
  <c r="G13" i="53" s="1"/>
  <c r="F13" i="53"/>
  <c r="I5" i="58" s="1"/>
  <c r="K12" i="53"/>
  <c r="K11" i="53"/>
  <c r="F11" i="53" s="1"/>
  <c r="H5" i="58" s="1"/>
  <c r="E11" i="53"/>
  <c r="H3" i="58" s="1"/>
  <c r="K10" i="53"/>
  <c r="E10" i="53" s="1"/>
  <c r="F10" i="53"/>
  <c r="G5" i="58" s="1"/>
  <c r="K9" i="53"/>
  <c r="F9" i="53" s="1"/>
  <c r="F5" i="58" s="1"/>
  <c r="K8" i="53"/>
  <c r="F8" i="53" s="1"/>
  <c r="E5" i="58" s="1"/>
  <c r="E8" i="53"/>
  <c r="E3" i="58" s="1"/>
  <c r="K7" i="53"/>
  <c r="E7" i="53" s="1"/>
  <c r="F7" i="53"/>
  <c r="D5" i="58" s="1"/>
  <c r="K6" i="53"/>
  <c r="B7" i="53" s="1"/>
  <c r="D6" i="53" s="1"/>
  <c r="G6" i="53"/>
  <c r="E6" i="53"/>
  <c r="D2" i="53"/>
  <c r="K123" i="52"/>
  <c r="F123" i="52" s="1"/>
  <c r="H32" i="57" s="1"/>
  <c r="K122" i="52"/>
  <c r="E122" i="52" s="1"/>
  <c r="F122" i="52"/>
  <c r="G32" i="57" s="1"/>
  <c r="K121" i="52"/>
  <c r="E121" i="52" s="1"/>
  <c r="K120" i="52"/>
  <c r="F120" i="52" s="1"/>
  <c r="E32" i="57" s="1"/>
  <c r="K119" i="52"/>
  <c r="E119" i="52" s="1"/>
  <c r="K118" i="52"/>
  <c r="B119" i="52" s="1"/>
  <c r="D122" i="52" s="1"/>
  <c r="F118" i="52"/>
  <c r="C32" i="57" s="1"/>
  <c r="K117" i="52"/>
  <c r="K116" i="52"/>
  <c r="E116" i="52" s="1"/>
  <c r="K115" i="52"/>
  <c r="F115" i="52" s="1"/>
  <c r="S26" i="57" s="1"/>
  <c r="K114" i="52"/>
  <c r="F114" i="52" s="1"/>
  <c r="R26" i="57" s="1"/>
  <c r="K113" i="52"/>
  <c r="K112" i="52"/>
  <c r="F112" i="52" s="1"/>
  <c r="P26" i="57" s="1"/>
  <c r="K111" i="52"/>
  <c r="F111" i="52" s="1"/>
  <c r="O26" i="57" s="1"/>
  <c r="G111" i="52"/>
  <c r="K110" i="52"/>
  <c r="K109" i="52"/>
  <c r="F109" i="52" s="1"/>
  <c r="N26" i="57" s="1"/>
  <c r="K108" i="52"/>
  <c r="E108" i="52" s="1"/>
  <c r="M24" i="57" s="1"/>
  <c r="K107" i="52"/>
  <c r="K106" i="52"/>
  <c r="F106" i="52" s="1"/>
  <c r="K26" i="57" s="1"/>
  <c r="K105" i="52"/>
  <c r="F105" i="52" s="1"/>
  <c r="J26" i="57" s="1"/>
  <c r="E105" i="52"/>
  <c r="K104" i="52"/>
  <c r="G104" i="52" s="1"/>
  <c r="F104" i="52"/>
  <c r="I26" i="57" s="1"/>
  <c r="E104" i="52"/>
  <c r="I24" i="57" s="1"/>
  <c r="K103" i="52"/>
  <c r="K102" i="52"/>
  <c r="E102" i="52" s="1"/>
  <c r="H24" i="57" s="1"/>
  <c r="F102" i="52"/>
  <c r="H26" i="57" s="1"/>
  <c r="K101" i="52"/>
  <c r="E101" i="52" s="1"/>
  <c r="K100" i="52"/>
  <c r="E100" i="52" s="1"/>
  <c r="F100" i="52"/>
  <c r="F26" i="57" s="1"/>
  <c r="K99" i="52"/>
  <c r="F99" i="52" s="1"/>
  <c r="E26" i="57" s="1"/>
  <c r="E99" i="52"/>
  <c r="K98" i="52"/>
  <c r="E98" i="52" s="1"/>
  <c r="D24" i="57" s="1"/>
  <c r="K97" i="52"/>
  <c r="F97" i="52" s="1"/>
  <c r="C26" i="57" s="1"/>
  <c r="K96" i="52"/>
  <c r="K95" i="52"/>
  <c r="F95" i="52" s="1"/>
  <c r="T21" i="57" s="1"/>
  <c r="K94" i="52"/>
  <c r="E94" i="52" s="1"/>
  <c r="K93" i="52"/>
  <c r="F93" i="52"/>
  <c r="R21" i="57" s="1"/>
  <c r="E93" i="52"/>
  <c r="R19" i="57" s="1"/>
  <c r="K92" i="52"/>
  <c r="E92" i="52" s="1"/>
  <c r="K91" i="52"/>
  <c r="F91" i="52" s="1"/>
  <c r="P21" i="57" s="1"/>
  <c r="B91" i="52"/>
  <c r="O17" i="57" s="1"/>
  <c r="J40" i="57" s="1"/>
  <c r="K90" i="52"/>
  <c r="F90" i="52" s="1"/>
  <c r="O21" i="57" s="1"/>
  <c r="G90" i="52"/>
  <c r="E90" i="52"/>
  <c r="O19" i="57" s="1"/>
  <c r="K89" i="52"/>
  <c r="K88" i="52"/>
  <c r="E88" i="52" s="1"/>
  <c r="F88" i="52"/>
  <c r="N21" i="57" s="1"/>
  <c r="K87" i="52"/>
  <c r="E87" i="52" s="1"/>
  <c r="F87" i="52"/>
  <c r="M21" i="57" s="1"/>
  <c r="K86" i="52"/>
  <c r="E86" i="52" s="1"/>
  <c r="K85" i="52"/>
  <c r="F85" i="52" s="1"/>
  <c r="K21" i="57" s="1"/>
  <c r="K84" i="52"/>
  <c r="E84" i="52" s="1"/>
  <c r="K83" i="52"/>
  <c r="F83" i="52" s="1"/>
  <c r="I21" i="57" s="1"/>
  <c r="K82" i="52"/>
  <c r="K81" i="52"/>
  <c r="E81" i="52" s="1"/>
  <c r="K80" i="52"/>
  <c r="E80" i="52" s="1"/>
  <c r="K79" i="52"/>
  <c r="F79" i="52" s="1"/>
  <c r="F21" i="57" s="1"/>
  <c r="K78" i="52"/>
  <c r="K77" i="52"/>
  <c r="F77" i="52" s="1"/>
  <c r="D21" i="57" s="1"/>
  <c r="E77" i="52"/>
  <c r="K76" i="52"/>
  <c r="G76" i="52"/>
  <c r="K75" i="52"/>
  <c r="K74" i="52"/>
  <c r="E74" i="52" s="1"/>
  <c r="F74" i="52"/>
  <c r="T16" i="57" s="1"/>
  <c r="K73" i="52"/>
  <c r="F73" i="52" s="1"/>
  <c r="S16" i="57" s="1"/>
  <c r="K72" i="52"/>
  <c r="F72" i="52" s="1"/>
  <c r="R16" i="57" s="1"/>
  <c r="E72" i="52"/>
  <c r="K71" i="52"/>
  <c r="F71" i="52" s="1"/>
  <c r="Q16" i="57" s="1"/>
  <c r="K70" i="52"/>
  <c r="E70" i="52" s="1"/>
  <c r="P13" i="57" s="1"/>
  <c r="K69" i="52"/>
  <c r="B70" i="52" s="1"/>
  <c r="O11" i="57" s="1"/>
  <c r="J38" i="57" s="1"/>
  <c r="K68" i="52"/>
  <c r="K67" i="52"/>
  <c r="K66" i="52"/>
  <c r="D66" i="52"/>
  <c r="K65" i="52"/>
  <c r="D65" i="52"/>
  <c r="K64" i="52"/>
  <c r="K63" i="52"/>
  <c r="K62" i="52"/>
  <c r="K61" i="52"/>
  <c r="K60" i="52"/>
  <c r="E60" i="52" s="1"/>
  <c r="K59" i="52"/>
  <c r="F59" i="52" s="1"/>
  <c r="M16" i="57" s="1"/>
  <c r="K58" i="52"/>
  <c r="F58" i="52" s="1"/>
  <c r="L16" i="57" s="1"/>
  <c r="K57" i="52"/>
  <c r="F57" i="52" s="1"/>
  <c r="K16" i="57" s="1"/>
  <c r="K56" i="52"/>
  <c r="E56" i="52" s="1"/>
  <c r="B56" i="52"/>
  <c r="I11" i="57" s="1"/>
  <c r="E38" i="57" s="1"/>
  <c r="K55" i="52"/>
  <c r="E55" i="52" s="1"/>
  <c r="G55" i="52"/>
  <c r="K54" i="52"/>
  <c r="K53" i="52"/>
  <c r="E53" i="52" s="1"/>
  <c r="F53" i="52"/>
  <c r="H16" i="57" s="1"/>
  <c r="K52" i="52"/>
  <c r="F52" i="52" s="1"/>
  <c r="G16" i="57" s="1"/>
  <c r="E52" i="52"/>
  <c r="K51" i="52"/>
  <c r="F51" i="52" s="1"/>
  <c r="F16" i="57" s="1"/>
  <c r="K50" i="52"/>
  <c r="E50" i="52" s="1"/>
  <c r="K49" i="52"/>
  <c r="E49" i="52" s="1"/>
  <c r="D13" i="57" s="1"/>
  <c r="K48" i="52"/>
  <c r="E48" i="52" s="1"/>
  <c r="K47" i="52"/>
  <c r="K46" i="52"/>
  <c r="E46" i="52" s="1"/>
  <c r="K45" i="52"/>
  <c r="E45" i="52" s="1"/>
  <c r="F45" i="52"/>
  <c r="S10" i="57" s="1"/>
  <c r="K44" i="52"/>
  <c r="F44" i="52" s="1"/>
  <c r="R10" i="57" s="1"/>
  <c r="K43" i="52"/>
  <c r="E43" i="52" s="1"/>
  <c r="K42" i="52"/>
  <c r="E42" i="52" s="1"/>
  <c r="K41" i="52"/>
  <c r="F41" i="52" s="1"/>
  <c r="O10" i="57" s="1"/>
  <c r="K40" i="52"/>
  <c r="K39" i="52"/>
  <c r="F39" i="52"/>
  <c r="N10" i="57" s="1"/>
  <c r="E39" i="52"/>
  <c r="N8" i="57" s="1"/>
  <c r="K38" i="52"/>
  <c r="E38" i="52" s="1"/>
  <c r="K37" i="52"/>
  <c r="F37" i="52" s="1"/>
  <c r="L10" i="57" s="1"/>
  <c r="K36" i="52"/>
  <c r="F36" i="52" s="1"/>
  <c r="K10" i="57" s="1"/>
  <c r="K35" i="52"/>
  <c r="F35" i="52" s="1"/>
  <c r="J10" i="57" s="1"/>
  <c r="E35" i="52"/>
  <c r="K34" i="52"/>
  <c r="G34" i="52" s="1"/>
  <c r="K33" i="52"/>
  <c r="K32" i="52"/>
  <c r="E32" i="52" s="1"/>
  <c r="K31" i="52"/>
  <c r="E31" i="52" s="1"/>
  <c r="K30" i="52"/>
  <c r="E30" i="52" s="1"/>
  <c r="F30" i="52"/>
  <c r="F10" i="57" s="1"/>
  <c r="K29" i="52"/>
  <c r="E29" i="52" s="1"/>
  <c r="F29" i="52"/>
  <c r="E10" i="57" s="1"/>
  <c r="K28" i="52"/>
  <c r="F28" i="52" s="1"/>
  <c r="D10" i="57" s="1"/>
  <c r="K27" i="52"/>
  <c r="F27" i="52" s="1"/>
  <c r="C10" i="57" s="1"/>
  <c r="E27" i="52"/>
  <c r="K26" i="52"/>
  <c r="K25" i="52"/>
  <c r="E25" i="52" s="1"/>
  <c r="F25" i="52"/>
  <c r="T5" i="57" s="1"/>
  <c r="K24" i="52"/>
  <c r="E24" i="52" s="1"/>
  <c r="K23" i="52"/>
  <c r="E23" i="52" s="1"/>
  <c r="K22" i="52"/>
  <c r="E22" i="52" s="1"/>
  <c r="K21" i="52"/>
  <c r="F21" i="52" s="1"/>
  <c r="P5" i="57" s="1"/>
  <c r="K20" i="52"/>
  <c r="E20" i="52" s="1"/>
  <c r="O3" i="57" s="1"/>
  <c r="F20" i="52"/>
  <c r="O5" i="57" s="1"/>
  <c r="K19" i="52"/>
  <c r="K18" i="52"/>
  <c r="F18" i="52" s="1"/>
  <c r="N5" i="57" s="1"/>
  <c r="K17" i="52"/>
  <c r="F17" i="52" s="1"/>
  <c r="M5" i="57" s="1"/>
  <c r="E17" i="52"/>
  <c r="K16" i="52"/>
  <c r="E16" i="52" s="1"/>
  <c r="K15" i="52"/>
  <c r="F15" i="52" s="1"/>
  <c r="K5" i="57" s="1"/>
  <c r="K14" i="52"/>
  <c r="F14" i="52" s="1"/>
  <c r="J5" i="57" s="1"/>
  <c r="E14" i="52"/>
  <c r="K13" i="52"/>
  <c r="G13" i="52" s="1"/>
  <c r="F13" i="52"/>
  <c r="I5" i="57" s="1"/>
  <c r="E13" i="52"/>
  <c r="K12" i="52"/>
  <c r="K11" i="52"/>
  <c r="F11" i="52" s="1"/>
  <c r="H5" i="57" s="1"/>
  <c r="E11" i="52"/>
  <c r="H3" i="57" s="1"/>
  <c r="K10" i="52"/>
  <c r="F10" i="52" s="1"/>
  <c r="G5" i="57" s="1"/>
  <c r="E10" i="52"/>
  <c r="G3" i="57" s="1"/>
  <c r="K9" i="52"/>
  <c r="F9" i="52" s="1"/>
  <c r="F5" i="57" s="1"/>
  <c r="K8" i="52"/>
  <c r="E8" i="52" s="1"/>
  <c r="E3" i="57" s="1"/>
  <c r="K7" i="52"/>
  <c r="E7" i="52" s="1"/>
  <c r="K6" i="52"/>
  <c r="B7" i="52" s="1"/>
  <c r="F6" i="52"/>
  <c r="C5" i="57" s="1"/>
  <c r="D2" i="52"/>
  <c r="K123" i="51"/>
  <c r="F123" i="51" s="1"/>
  <c r="H32" i="56" s="1"/>
  <c r="K122" i="51"/>
  <c r="K121" i="51"/>
  <c r="F121" i="51" s="1"/>
  <c r="F32" i="56" s="1"/>
  <c r="K120" i="51"/>
  <c r="F120" i="51" s="1"/>
  <c r="E32" i="56" s="1"/>
  <c r="K119" i="51"/>
  <c r="F119" i="51" s="1"/>
  <c r="D32" i="56" s="1"/>
  <c r="K118" i="51"/>
  <c r="B119" i="51" s="1"/>
  <c r="K117" i="51"/>
  <c r="K116" i="51"/>
  <c r="E116" i="51" s="1"/>
  <c r="T24" i="56" s="1"/>
  <c r="K115" i="51"/>
  <c r="F115" i="51" s="1"/>
  <c r="S26" i="56" s="1"/>
  <c r="K114" i="51"/>
  <c r="E114" i="51" s="1"/>
  <c r="K113" i="51"/>
  <c r="E113" i="51" s="1"/>
  <c r="F113" i="51"/>
  <c r="Q26" i="56" s="1"/>
  <c r="K112" i="51"/>
  <c r="E112" i="51" s="1"/>
  <c r="P24" i="56" s="1"/>
  <c r="F112" i="51"/>
  <c r="P26" i="56" s="1"/>
  <c r="K111" i="51"/>
  <c r="B112" i="51" s="1"/>
  <c r="O22" i="56" s="1"/>
  <c r="J42" i="56" s="1"/>
  <c r="K110" i="51"/>
  <c r="K109" i="51"/>
  <c r="F109" i="51"/>
  <c r="N26" i="56" s="1"/>
  <c r="E109" i="51"/>
  <c r="K108" i="51"/>
  <c r="E108" i="51" s="1"/>
  <c r="K107" i="51"/>
  <c r="F107" i="51" s="1"/>
  <c r="L26" i="56" s="1"/>
  <c r="K106" i="51"/>
  <c r="E106" i="51" s="1"/>
  <c r="K24" i="56" s="1"/>
  <c r="K105" i="51"/>
  <c r="F105" i="51" s="1"/>
  <c r="J26" i="56" s="1"/>
  <c r="K104" i="51"/>
  <c r="E104" i="51" s="1"/>
  <c r="I24" i="56" s="1"/>
  <c r="K103" i="51"/>
  <c r="K102" i="51"/>
  <c r="F102" i="51" s="1"/>
  <c r="H26" i="56" s="1"/>
  <c r="K101" i="51"/>
  <c r="F101" i="51" s="1"/>
  <c r="G26" i="56" s="1"/>
  <c r="E101" i="51"/>
  <c r="K100" i="51"/>
  <c r="K99" i="51"/>
  <c r="E99" i="51" s="1"/>
  <c r="K98" i="51"/>
  <c r="F98" i="51" s="1"/>
  <c r="D26" i="56" s="1"/>
  <c r="E98" i="51"/>
  <c r="K97" i="51"/>
  <c r="B98" i="51" s="1"/>
  <c r="C22" i="56" s="1"/>
  <c r="B42" i="56" s="1"/>
  <c r="E97" i="51"/>
  <c r="K96" i="51"/>
  <c r="K95" i="51"/>
  <c r="F95" i="51"/>
  <c r="T21" i="56" s="1"/>
  <c r="E95" i="51"/>
  <c r="T19" i="56" s="1"/>
  <c r="K94" i="51"/>
  <c r="F94" i="51" s="1"/>
  <c r="S21" i="56" s="1"/>
  <c r="K93" i="51"/>
  <c r="F93" i="51" s="1"/>
  <c r="R21" i="56" s="1"/>
  <c r="E93" i="51"/>
  <c r="K92" i="51"/>
  <c r="K91" i="51"/>
  <c r="E91" i="51" s="1"/>
  <c r="F91" i="51"/>
  <c r="P21" i="56" s="1"/>
  <c r="K90" i="51"/>
  <c r="G90" i="51"/>
  <c r="K89" i="51"/>
  <c r="K88" i="51"/>
  <c r="E88" i="51" s="1"/>
  <c r="F88" i="51"/>
  <c r="N21" i="56" s="1"/>
  <c r="K87" i="51"/>
  <c r="E87" i="51" s="1"/>
  <c r="M19" i="56" s="1"/>
  <c r="F87" i="51"/>
  <c r="M21" i="56" s="1"/>
  <c r="K86" i="51"/>
  <c r="F86" i="51" s="1"/>
  <c r="L21" i="56" s="1"/>
  <c r="K85" i="51"/>
  <c r="E85" i="51" s="1"/>
  <c r="F85" i="51"/>
  <c r="K21" i="56" s="1"/>
  <c r="K84" i="51"/>
  <c r="K83" i="51"/>
  <c r="F83" i="51" s="1"/>
  <c r="I21" i="56" s="1"/>
  <c r="G83" i="51"/>
  <c r="K82" i="51"/>
  <c r="K81" i="51"/>
  <c r="K80" i="51"/>
  <c r="F80" i="51" s="1"/>
  <c r="G21" i="56" s="1"/>
  <c r="K79" i="51"/>
  <c r="E79" i="51" s="1"/>
  <c r="F79" i="51"/>
  <c r="F21" i="56" s="1"/>
  <c r="K78" i="51"/>
  <c r="E78" i="51" s="1"/>
  <c r="E19" i="56" s="1"/>
  <c r="K77" i="51"/>
  <c r="F77" i="51" s="1"/>
  <c r="D21" i="56" s="1"/>
  <c r="K76" i="51"/>
  <c r="K75" i="51"/>
  <c r="K74" i="51"/>
  <c r="F74" i="51" s="1"/>
  <c r="T16" i="56" s="1"/>
  <c r="K73" i="51"/>
  <c r="E73" i="51" s="1"/>
  <c r="S13" i="56" s="1"/>
  <c r="K72" i="51"/>
  <c r="F72" i="51" s="1"/>
  <c r="R16" i="56" s="1"/>
  <c r="K71" i="51"/>
  <c r="F71" i="51" s="1"/>
  <c r="Q16" i="56" s="1"/>
  <c r="K70" i="51"/>
  <c r="E70" i="51" s="1"/>
  <c r="K69" i="51"/>
  <c r="G69" i="51" s="1"/>
  <c r="E69" i="51"/>
  <c r="K68" i="51"/>
  <c r="K67" i="51"/>
  <c r="K66" i="51"/>
  <c r="D66" i="51"/>
  <c r="K65" i="51"/>
  <c r="D65" i="51"/>
  <c r="K64" i="51"/>
  <c r="K63" i="51"/>
  <c r="K62" i="51"/>
  <c r="K61" i="51"/>
  <c r="K60" i="51"/>
  <c r="F60" i="51" s="1"/>
  <c r="N16" i="56" s="1"/>
  <c r="E60" i="51"/>
  <c r="N13" i="56" s="1"/>
  <c r="K59" i="51"/>
  <c r="F59" i="51" s="1"/>
  <c r="M16" i="56" s="1"/>
  <c r="K58" i="51"/>
  <c r="F58" i="51" s="1"/>
  <c r="L16" i="56" s="1"/>
  <c r="K57" i="51"/>
  <c r="F57" i="51" s="1"/>
  <c r="K16" i="56" s="1"/>
  <c r="K56" i="51"/>
  <c r="E56" i="51" s="1"/>
  <c r="F56" i="51"/>
  <c r="J16" i="56" s="1"/>
  <c r="K55" i="51"/>
  <c r="G55" i="51" s="1"/>
  <c r="E55" i="51"/>
  <c r="K54" i="51"/>
  <c r="K53" i="51"/>
  <c r="F53" i="51"/>
  <c r="H16" i="56" s="1"/>
  <c r="E53" i="51"/>
  <c r="K52" i="51"/>
  <c r="F52" i="51" s="1"/>
  <c r="G16" i="56" s="1"/>
  <c r="K51" i="51"/>
  <c r="F51" i="51" s="1"/>
  <c r="F16" i="56" s="1"/>
  <c r="K50" i="51"/>
  <c r="K49" i="51"/>
  <c r="E49" i="51" s="1"/>
  <c r="F49" i="51"/>
  <c r="D16" i="56" s="1"/>
  <c r="K48" i="51"/>
  <c r="F48" i="51" s="1"/>
  <c r="C16" i="56" s="1"/>
  <c r="K47" i="51"/>
  <c r="K46" i="51"/>
  <c r="F46" i="51" s="1"/>
  <c r="T10" i="56" s="1"/>
  <c r="K45" i="51"/>
  <c r="E45" i="51" s="1"/>
  <c r="K44" i="51"/>
  <c r="E44" i="51" s="1"/>
  <c r="F44" i="51"/>
  <c r="R10" i="56" s="1"/>
  <c r="K43" i="51"/>
  <c r="E43" i="51" s="1"/>
  <c r="F43" i="51"/>
  <c r="Q10" i="56" s="1"/>
  <c r="K42" i="51"/>
  <c r="F42" i="51" s="1"/>
  <c r="P10" i="56" s="1"/>
  <c r="B42" i="51"/>
  <c r="O6" i="56" s="1"/>
  <c r="J36" i="56" s="1"/>
  <c r="K41" i="51"/>
  <c r="G41" i="51" s="1"/>
  <c r="F41" i="51"/>
  <c r="O10" i="56" s="1"/>
  <c r="K40" i="51"/>
  <c r="K39" i="51"/>
  <c r="F39" i="51" s="1"/>
  <c r="N10" i="56" s="1"/>
  <c r="K38" i="51"/>
  <c r="E38" i="51" s="1"/>
  <c r="F38" i="51"/>
  <c r="M10" i="56" s="1"/>
  <c r="K37" i="51"/>
  <c r="F37" i="51" s="1"/>
  <c r="L10" i="56" s="1"/>
  <c r="E37" i="51"/>
  <c r="K36" i="51"/>
  <c r="F36" i="51" s="1"/>
  <c r="K10" i="56" s="1"/>
  <c r="K35" i="51"/>
  <c r="E35" i="51" s="1"/>
  <c r="K34" i="51"/>
  <c r="B35" i="51" s="1"/>
  <c r="K33" i="51"/>
  <c r="K32" i="51"/>
  <c r="K31" i="51"/>
  <c r="E31" i="51" s="1"/>
  <c r="F31" i="51"/>
  <c r="G10" i="56" s="1"/>
  <c r="K30" i="51"/>
  <c r="E30" i="51" s="1"/>
  <c r="F30" i="51"/>
  <c r="F10" i="56" s="1"/>
  <c r="K29" i="51"/>
  <c r="F29" i="51" s="1"/>
  <c r="E10" i="56" s="1"/>
  <c r="K28" i="51"/>
  <c r="F28" i="51" s="1"/>
  <c r="D10" i="56" s="1"/>
  <c r="K27" i="51"/>
  <c r="G27" i="51" s="1"/>
  <c r="K26" i="51"/>
  <c r="K25" i="51"/>
  <c r="E25" i="51" s="1"/>
  <c r="T3" i="56" s="1"/>
  <c r="F25" i="51"/>
  <c r="T5" i="56" s="1"/>
  <c r="K24" i="51"/>
  <c r="F24" i="51" s="1"/>
  <c r="S5" i="56" s="1"/>
  <c r="K23" i="51"/>
  <c r="F23" i="51" s="1"/>
  <c r="R5" i="56" s="1"/>
  <c r="K22" i="51"/>
  <c r="K21" i="51"/>
  <c r="E21" i="51" s="1"/>
  <c r="B21" i="51"/>
  <c r="O1" i="56" s="1"/>
  <c r="J34" i="56" s="1"/>
  <c r="K20" i="51"/>
  <c r="F20" i="51" s="1"/>
  <c r="O5" i="56" s="1"/>
  <c r="K19" i="51"/>
  <c r="K18" i="51"/>
  <c r="F18" i="51" s="1"/>
  <c r="N5" i="56" s="1"/>
  <c r="K17" i="51"/>
  <c r="E17" i="51" s="1"/>
  <c r="M3" i="56" s="1"/>
  <c r="K16" i="51"/>
  <c r="F16" i="51" s="1"/>
  <c r="L5" i="56" s="1"/>
  <c r="K15" i="51"/>
  <c r="F15" i="51" s="1"/>
  <c r="K5" i="56" s="1"/>
  <c r="E15" i="51"/>
  <c r="K3" i="56" s="1"/>
  <c r="K14" i="51"/>
  <c r="F14" i="51" s="1"/>
  <c r="J5" i="56" s="1"/>
  <c r="E14" i="51"/>
  <c r="J3" i="56" s="1"/>
  <c r="K13" i="51"/>
  <c r="B14" i="51" s="1"/>
  <c r="I1" i="56" s="1"/>
  <c r="E34" i="56" s="1"/>
  <c r="G13" i="51"/>
  <c r="E13" i="51"/>
  <c r="K12" i="51"/>
  <c r="K11" i="51"/>
  <c r="F11" i="51" s="1"/>
  <c r="H5" i="56" s="1"/>
  <c r="K10" i="51"/>
  <c r="F10" i="51" s="1"/>
  <c r="G5" i="56" s="1"/>
  <c r="E10" i="51"/>
  <c r="K9" i="51"/>
  <c r="E9" i="51" s="1"/>
  <c r="F3" i="56" s="1"/>
  <c r="F9" i="51"/>
  <c r="F5" i="56" s="1"/>
  <c r="K8" i="51"/>
  <c r="F8" i="51" s="1"/>
  <c r="E5" i="56" s="1"/>
  <c r="K7" i="51"/>
  <c r="E7" i="51" s="1"/>
  <c r="D3" i="56" s="1"/>
  <c r="K6" i="51"/>
  <c r="B7" i="51" s="1"/>
  <c r="D10" i="51" s="1"/>
  <c r="G6" i="51"/>
  <c r="D2" i="51"/>
  <c r="K123" i="38"/>
  <c r="F123" i="38" s="1"/>
  <c r="H32" i="49" s="1"/>
  <c r="K122" i="38"/>
  <c r="E122" i="38" s="1"/>
  <c r="K121" i="38"/>
  <c r="F121" i="38" s="1"/>
  <c r="F32" i="49" s="1"/>
  <c r="K120" i="38"/>
  <c r="F120" i="38" s="1"/>
  <c r="E32" i="49" s="1"/>
  <c r="E120" i="38"/>
  <c r="K119" i="38"/>
  <c r="E119" i="38" s="1"/>
  <c r="K118" i="38"/>
  <c r="G118" i="38" s="1"/>
  <c r="K117" i="38"/>
  <c r="K116" i="38"/>
  <c r="F116" i="38" s="1"/>
  <c r="T26" i="49" s="1"/>
  <c r="K115" i="38"/>
  <c r="F115" i="38" s="1"/>
  <c r="S26" i="49" s="1"/>
  <c r="E115" i="38"/>
  <c r="K114" i="38"/>
  <c r="F114" i="38" s="1"/>
  <c r="R26" i="49" s="1"/>
  <c r="K113" i="38"/>
  <c r="F113" i="38" s="1"/>
  <c r="Q26" i="49" s="1"/>
  <c r="K112" i="38"/>
  <c r="E112" i="38" s="1"/>
  <c r="F112" i="38"/>
  <c r="P26" i="49" s="1"/>
  <c r="K111" i="38"/>
  <c r="B112" i="38" s="1"/>
  <c r="O22" i="49" s="1"/>
  <c r="J42" i="49" s="1"/>
  <c r="F111" i="38"/>
  <c r="O26" i="49" s="1"/>
  <c r="E111" i="38"/>
  <c r="K110" i="38"/>
  <c r="K109" i="38"/>
  <c r="E109" i="38" s="1"/>
  <c r="K108" i="38"/>
  <c r="F108" i="38" s="1"/>
  <c r="M26" i="49" s="1"/>
  <c r="K107" i="38"/>
  <c r="F107" i="38"/>
  <c r="L26" i="49" s="1"/>
  <c r="E107" i="38"/>
  <c r="K106" i="38"/>
  <c r="F106" i="38" s="1"/>
  <c r="K26" i="49" s="1"/>
  <c r="E106" i="38"/>
  <c r="K105" i="38"/>
  <c r="F105" i="38" s="1"/>
  <c r="J26" i="49" s="1"/>
  <c r="E105" i="38"/>
  <c r="K104" i="38"/>
  <c r="F104" i="38" s="1"/>
  <c r="I26" i="49" s="1"/>
  <c r="G104" i="38"/>
  <c r="K103" i="38"/>
  <c r="K102" i="38"/>
  <c r="F102" i="38"/>
  <c r="H26" i="49" s="1"/>
  <c r="E102" i="38"/>
  <c r="K101" i="38"/>
  <c r="E101" i="38" s="1"/>
  <c r="F101" i="38"/>
  <c r="G26" i="49" s="1"/>
  <c r="K100" i="38"/>
  <c r="F100" i="38" s="1"/>
  <c r="F26" i="49" s="1"/>
  <c r="K99" i="38"/>
  <c r="E99" i="38" s="1"/>
  <c r="K98" i="38"/>
  <c r="E98" i="38" s="1"/>
  <c r="F98" i="38"/>
  <c r="D26" i="49" s="1"/>
  <c r="K97" i="38"/>
  <c r="E97" i="38" s="1"/>
  <c r="K96" i="38"/>
  <c r="K95" i="38"/>
  <c r="F95" i="38" s="1"/>
  <c r="T21" i="49" s="1"/>
  <c r="K94" i="38"/>
  <c r="E94" i="38" s="1"/>
  <c r="F94" i="38"/>
  <c r="S21" i="49" s="1"/>
  <c r="K93" i="38"/>
  <c r="E93" i="38" s="1"/>
  <c r="F93" i="38"/>
  <c r="R21" i="49" s="1"/>
  <c r="K92" i="38"/>
  <c r="E92" i="38" s="1"/>
  <c r="Q19" i="49" s="1"/>
  <c r="F92" i="38"/>
  <c r="Q21" i="49" s="1"/>
  <c r="K91" i="38"/>
  <c r="F91" i="38"/>
  <c r="P21" i="49" s="1"/>
  <c r="E91" i="38"/>
  <c r="B91" i="38"/>
  <c r="D94" i="38" s="1"/>
  <c r="K90" i="38"/>
  <c r="G90" i="38" s="1"/>
  <c r="F90" i="38"/>
  <c r="O21" i="49" s="1"/>
  <c r="K89" i="38"/>
  <c r="K88" i="38"/>
  <c r="F88" i="38" s="1"/>
  <c r="N21" i="49" s="1"/>
  <c r="E88" i="38"/>
  <c r="K87" i="38"/>
  <c r="F87" i="38" s="1"/>
  <c r="M21" i="49" s="1"/>
  <c r="E87" i="38"/>
  <c r="K86" i="38"/>
  <c r="F86" i="38" s="1"/>
  <c r="L21" i="49" s="1"/>
  <c r="K85" i="38"/>
  <c r="F85" i="38" s="1"/>
  <c r="K21" i="49" s="1"/>
  <c r="K84" i="38"/>
  <c r="E84" i="38" s="1"/>
  <c r="K83" i="38"/>
  <c r="B84" i="38" s="1"/>
  <c r="I17" i="49" s="1"/>
  <c r="E40" i="49" s="1"/>
  <c r="K82" i="38"/>
  <c r="K81" i="38"/>
  <c r="E81" i="38" s="1"/>
  <c r="K80" i="38"/>
  <c r="E80" i="38" s="1"/>
  <c r="F80" i="38"/>
  <c r="G21" i="49" s="1"/>
  <c r="K79" i="38"/>
  <c r="E79" i="38" s="1"/>
  <c r="F79" i="38"/>
  <c r="F21" i="49" s="1"/>
  <c r="K78" i="38"/>
  <c r="F78" i="38" s="1"/>
  <c r="E21" i="49" s="1"/>
  <c r="K77" i="38"/>
  <c r="F77" i="38" s="1"/>
  <c r="D21" i="49" s="1"/>
  <c r="E77" i="38"/>
  <c r="K76" i="38"/>
  <c r="B77" i="38" s="1"/>
  <c r="D78" i="38" s="1"/>
  <c r="F76" i="38"/>
  <c r="C21" i="49" s="1"/>
  <c r="K75" i="38"/>
  <c r="K74" i="38"/>
  <c r="F74" i="38" s="1"/>
  <c r="T16" i="49" s="1"/>
  <c r="K73" i="38"/>
  <c r="F73" i="38"/>
  <c r="S16" i="49" s="1"/>
  <c r="E73" i="38"/>
  <c r="K72" i="38"/>
  <c r="F72" i="38" s="1"/>
  <c r="R16" i="49" s="1"/>
  <c r="K71" i="38"/>
  <c r="E71" i="38" s="1"/>
  <c r="K70" i="38"/>
  <c r="F70" i="38" s="1"/>
  <c r="P16" i="49" s="1"/>
  <c r="K69" i="38"/>
  <c r="E69" i="38" s="1"/>
  <c r="G69" i="38"/>
  <c r="K68" i="38"/>
  <c r="K67" i="38"/>
  <c r="K66" i="38"/>
  <c r="D66" i="38"/>
  <c r="K65" i="38"/>
  <c r="D65" i="38"/>
  <c r="K64" i="38"/>
  <c r="K63" i="38"/>
  <c r="K62" i="38"/>
  <c r="K61" i="38"/>
  <c r="K60" i="38"/>
  <c r="F60" i="38" s="1"/>
  <c r="N16" i="49" s="1"/>
  <c r="K59" i="38"/>
  <c r="E59" i="38" s="1"/>
  <c r="K58" i="38"/>
  <c r="F58" i="38"/>
  <c r="L16" i="49" s="1"/>
  <c r="E58" i="38"/>
  <c r="K57" i="38"/>
  <c r="F57" i="38" s="1"/>
  <c r="K16" i="49" s="1"/>
  <c r="E57" i="38"/>
  <c r="K56" i="38"/>
  <c r="E56" i="38" s="1"/>
  <c r="F56" i="38"/>
  <c r="J16" i="49" s="1"/>
  <c r="B56" i="38"/>
  <c r="K55" i="38"/>
  <c r="G55" i="38" s="1"/>
  <c r="F55" i="38"/>
  <c r="I16" i="49" s="1"/>
  <c r="E55" i="38"/>
  <c r="K54" i="38"/>
  <c r="K53" i="38"/>
  <c r="E53" i="38" s="1"/>
  <c r="F53" i="38"/>
  <c r="H16" i="49" s="1"/>
  <c r="K52" i="38"/>
  <c r="F52" i="38" s="1"/>
  <c r="G16" i="49" s="1"/>
  <c r="K51" i="38"/>
  <c r="F51" i="38" s="1"/>
  <c r="F16" i="49" s="1"/>
  <c r="K50" i="38"/>
  <c r="F50" i="38" s="1"/>
  <c r="E16" i="49" s="1"/>
  <c r="K49" i="38"/>
  <c r="E49" i="38" s="1"/>
  <c r="B49" i="38"/>
  <c r="D49" i="38" s="1"/>
  <c r="K48" i="38"/>
  <c r="E48" i="38" s="1"/>
  <c r="G48" i="38"/>
  <c r="K47" i="38"/>
  <c r="K46" i="38"/>
  <c r="E46" i="38" s="1"/>
  <c r="K45" i="38"/>
  <c r="F45" i="38" s="1"/>
  <c r="S10" i="49" s="1"/>
  <c r="E45" i="38"/>
  <c r="K44" i="38"/>
  <c r="F44" i="38" s="1"/>
  <c r="R10" i="49" s="1"/>
  <c r="E44" i="38"/>
  <c r="K43" i="38"/>
  <c r="E43" i="38" s="1"/>
  <c r="F43" i="38"/>
  <c r="Q10" i="49" s="1"/>
  <c r="K42" i="38"/>
  <c r="F42" i="38" s="1"/>
  <c r="P10" i="49" s="1"/>
  <c r="E42" i="38"/>
  <c r="K41" i="38"/>
  <c r="B42" i="38" s="1"/>
  <c r="D43" i="38" s="1"/>
  <c r="E41" i="38"/>
  <c r="K40" i="38"/>
  <c r="K39" i="38"/>
  <c r="F39" i="38" s="1"/>
  <c r="N10" i="49" s="1"/>
  <c r="E39" i="38"/>
  <c r="K38" i="38"/>
  <c r="F38" i="38"/>
  <c r="M10" i="49" s="1"/>
  <c r="E38" i="38"/>
  <c r="K37" i="38"/>
  <c r="F37" i="38" s="1"/>
  <c r="L10" i="49" s="1"/>
  <c r="K36" i="38"/>
  <c r="E36" i="38" s="1"/>
  <c r="K35" i="38"/>
  <c r="F35" i="38"/>
  <c r="J10" i="49" s="1"/>
  <c r="E35" i="38"/>
  <c r="K34" i="38"/>
  <c r="E34" i="38" s="1"/>
  <c r="K33" i="38"/>
  <c r="K32" i="38"/>
  <c r="F32" i="38" s="1"/>
  <c r="H10" i="49" s="1"/>
  <c r="K31" i="38"/>
  <c r="E31" i="38" s="1"/>
  <c r="F31" i="38"/>
  <c r="G10" i="49" s="1"/>
  <c r="K30" i="38"/>
  <c r="E30" i="38" s="1"/>
  <c r="F30" i="38"/>
  <c r="F10" i="49" s="1"/>
  <c r="K29" i="38"/>
  <c r="F29" i="38"/>
  <c r="E10" i="49" s="1"/>
  <c r="E29" i="38"/>
  <c r="K28" i="38"/>
  <c r="E28" i="38" s="1"/>
  <c r="F28" i="38"/>
  <c r="D10" i="49" s="1"/>
  <c r="K27" i="38"/>
  <c r="G27" i="38" s="1"/>
  <c r="K26" i="38"/>
  <c r="K25" i="38"/>
  <c r="F25" i="38" s="1"/>
  <c r="T5" i="49" s="1"/>
  <c r="E25" i="38"/>
  <c r="K24" i="38"/>
  <c r="F24" i="38" s="1"/>
  <c r="S5" i="49" s="1"/>
  <c r="E24" i="38"/>
  <c r="K23" i="38"/>
  <c r="F23" i="38" s="1"/>
  <c r="R5" i="49" s="1"/>
  <c r="K22" i="38"/>
  <c r="F22" i="38" s="1"/>
  <c r="Q5" i="49" s="1"/>
  <c r="K21" i="38"/>
  <c r="E21" i="38" s="1"/>
  <c r="K20" i="38"/>
  <c r="E20" i="38" s="1"/>
  <c r="K19" i="38"/>
  <c r="K18" i="38"/>
  <c r="E18" i="38" s="1"/>
  <c r="K17" i="38"/>
  <c r="E17" i="38" s="1"/>
  <c r="M3" i="49" s="1"/>
  <c r="F17" i="38"/>
  <c r="M5" i="49" s="1"/>
  <c r="K16" i="38"/>
  <c r="E16" i="38" s="1"/>
  <c r="F16" i="38"/>
  <c r="L5" i="49" s="1"/>
  <c r="K15" i="38"/>
  <c r="F15" i="38" s="1"/>
  <c r="K5" i="49" s="1"/>
  <c r="K14" i="38"/>
  <c r="F14" i="38" s="1"/>
  <c r="J5" i="49" s="1"/>
  <c r="E14" i="38"/>
  <c r="B14" i="38"/>
  <c r="D15" i="38" s="1"/>
  <c r="K13" i="38"/>
  <c r="F13" i="38" s="1"/>
  <c r="I5" i="49" s="1"/>
  <c r="G13" i="38"/>
  <c r="K12" i="38"/>
  <c r="K11" i="38"/>
  <c r="E11" i="38" s="1"/>
  <c r="F11" i="38"/>
  <c r="H5" i="49" s="1"/>
  <c r="K10" i="38"/>
  <c r="F10" i="38"/>
  <c r="G5" i="49" s="1"/>
  <c r="E10" i="38"/>
  <c r="K9" i="38"/>
  <c r="F9" i="38" s="1"/>
  <c r="F5" i="49" s="1"/>
  <c r="K8" i="38"/>
  <c r="E8" i="38" s="1"/>
  <c r="K7" i="38"/>
  <c r="F7" i="38" s="1"/>
  <c r="D5" i="49" s="1"/>
  <c r="K6" i="38"/>
  <c r="E6" i="38" s="1"/>
  <c r="G6" i="38"/>
  <c r="D2" i="38"/>
  <c r="K123" i="37"/>
  <c r="F123" i="37" s="1"/>
  <c r="H32" i="48" s="1"/>
  <c r="K122" i="37"/>
  <c r="F122" i="37" s="1"/>
  <c r="G32" i="48" s="1"/>
  <c r="K121" i="37"/>
  <c r="F121" i="37" s="1"/>
  <c r="F32" i="48" s="1"/>
  <c r="K120" i="37"/>
  <c r="E120" i="37" s="1"/>
  <c r="K119" i="37"/>
  <c r="E119" i="37" s="1"/>
  <c r="K118" i="37"/>
  <c r="B119" i="37" s="1"/>
  <c r="C28" i="48" s="1"/>
  <c r="B44" i="48" s="1"/>
  <c r="K117" i="37"/>
  <c r="K116" i="37"/>
  <c r="F116" i="37" s="1"/>
  <c r="T26" i="48" s="1"/>
  <c r="K115" i="37"/>
  <c r="F115" i="37" s="1"/>
  <c r="S26" i="48" s="1"/>
  <c r="E115" i="37"/>
  <c r="K114" i="37"/>
  <c r="F114" i="37" s="1"/>
  <c r="R26" i="48" s="1"/>
  <c r="K113" i="37"/>
  <c r="F113" i="37" s="1"/>
  <c r="Q26" i="48" s="1"/>
  <c r="K112" i="37"/>
  <c r="F112" i="37" s="1"/>
  <c r="P26" i="48" s="1"/>
  <c r="K111" i="37"/>
  <c r="G111" i="37" s="1"/>
  <c r="F111" i="37"/>
  <c r="O26" i="48" s="1"/>
  <c r="K110" i="37"/>
  <c r="K109" i="37"/>
  <c r="E109" i="37" s="1"/>
  <c r="K108" i="37"/>
  <c r="F108" i="37" s="1"/>
  <c r="M26" i="48" s="1"/>
  <c r="K107" i="37"/>
  <c r="F107" i="37" s="1"/>
  <c r="L26" i="48" s="1"/>
  <c r="K106" i="37"/>
  <c r="F106" i="37"/>
  <c r="K26" i="48" s="1"/>
  <c r="E106" i="37"/>
  <c r="K105" i="37"/>
  <c r="E105" i="37" s="1"/>
  <c r="F105" i="37"/>
  <c r="J26" i="48" s="1"/>
  <c r="K104" i="37"/>
  <c r="B105" i="37" s="1"/>
  <c r="D109" i="37" s="1"/>
  <c r="K103" i="37"/>
  <c r="K102" i="37"/>
  <c r="F102" i="37"/>
  <c r="H26" i="48" s="1"/>
  <c r="E102" i="37"/>
  <c r="K101" i="37"/>
  <c r="E101" i="37" s="1"/>
  <c r="F101" i="37"/>
  <c r="G26" i="48" s="1"/>
  <c r="K100" i="37"/>
  <c r="E100" i="37" s="1"/>
  <c r="F100" i="37"/>
  <c r="F26" i="48" s="1"/>
  <c r="K99" i="37"/>
  <c r="E99" i="37" s="1"/>
  <c r="K98" i="37"/>
  <c r="F98" i="37" s="1"/>
  <c r="D26" i="48" s="1"/>
  <c r="K97" i="37"/>
  <c r="E97" i="37" s="1"/>
  <c r="K96" i="37"/>
  <c r="K95" i="37"/>
  <c r="F95" i="37" s="1"/>
  <c r="T21" i="48" s="1"/>
  <c r="K94" i="37"/>
  <c r="F94" i="37" s="1"/>
  <c r="S21" i="48" s="1"/>
  <c r="K93" i="37"/>
  <c r="F93" i="37" s="1"/>
  <c r="R21" i="48" s="1"/>
  <c r="K92" i="37"/>
  <c r="E92" i="37" s="1"/>
  <c r="K91" i="37"/>
  <c r="F91" i="37" s="1"/>
  <c r="P21" i="48" s="1"/>
  <c r="E91" i="37"/>
  <c r="K90" i="37"/>
  <c r="B91" i="37" s="1"/>
  <c r="O17" i="48" s="1"/>
  <c r="J40" i="48" s="1"/>
  <c r="G90" i="37"/>
  <c r="E90" i="37"/>
  <c r="K89" i="37"/>
  <c r="K88" i="37"/>
  <c r="E88" i="37" s="1"/>
  <c r="K87" i="37"/>
  <c r="F87" i="37" s="1"/>
  <c r="M21" i="48" s="1"/>
  <c r="E87" i="37"/>
  <c r="K86" i="37"/>
  <c r="F86" i="37" s="1"/>
  <c r="L21" i="48" s="1"/>
  <c r="K85" i="37"/>
  <c r="F85" i="37" s="1"/>
  <c r="K21" i="48" s="1"/>
  <c r="K84" i="37"/>
  <c r="F84" i="37" s="1"/>
  <c r="J21" i="48" s="1"/>
  <c r="B84" i="37"/>
  <c r="D84" i="37" s="1"/>
  <c r="K83" i="37"/>
  <c r="G83" i="37" s="1"/>
  <c r="K82" i="37"/>
  <c r="K81" i="37"/>
  <c r="E81" i="37" s="1"/>
  <c r="K80" i="37"/>
  <c r="F80" i="37" s="1"/>
  <c r="G21" i="48" s="1"/>
  <c r="K79" i="37"/>
  <c r="E79" i="37" s="1"/>
  <c r="F19" i="48" s="1"/>
  <c r="F79" i="37"/>
  <c r="F21" i="48" s="1"/>
  <c r="K78" i="37"/>
  <c r="F78" i="37"/>
  <c r="E21" i="48" s="1"/>
  <c r="E78" i="37"/>
  <c r="K77" i="37"/>
  <c r="E77" i="37" s="1"/>
  <c r="F77" i="37"/>
  <c r="D21" i="48" s="1"/>
  <c r="K76" i="37"/>
  <c r="B77" i="37" s="1"/>
  <c r="D81" i="37" s="1"/>
  <c r="F76" i="37"/>
  <c r="C21" i="48" s="1"/>
  <c r="K75" i="37"/>
  <c r="K74" i="37"/>
  <c r="F74" i="37"/>
  <c r="T16" i="48" s="1"/>
  <c r="E74" i="37"/>
  <c r="K73" i="37"/>
  <c r="E73" i="37" s="1"/>
  <c r="F73" i="37"/>
  <c r="S16" i="48" s="1"/>
  <c r="K72" i="37"/>
  <c r="E72" i="37" s="1"/>
  <c r="F72" i="37"/>
  <c r="R16" i="48" s="1"/>
  <c r="K71" i="37"/>
  <c r="E71" i="37" s="1"/>
  <c r="K70" i="37"/>
  <c r="F70" i="37" s="1"/>
  <c r="P16" i="48" s="1"/>
  <c r="B70" i="37"/>
  <c r="D71" i="37" s="1"/>
  <c r="K69" i="37"/>
  <c r="E69" i="37" s="1"/>
  <c r="K68" i="37"/>
  <c r="K67" i="37"/>
  <c r="K66" i="37"/>
  <c r="D66" i="37"/>
  <c r="K65" i="37"/>
  <c r="D65" i="37"/>
  <c r="K64" i="37"/>
  <c r="K63" i="37"/>
  <c r="K62" i="37"/>
  <c r="K61" i="37"/>
  <c r="K60" i="37"/>
  <c r="F60" i="37" s="1"/>
  <c r="N16" i="48" s="1"/>
  <c r="K59" i="37"/>
  <c r="F59" i="37" s="1"/>
  <c r="M16" i="48" s="1"/>
  <c r="K58" i="37"/>
  <c r="F58" i="37" s="1"/>
  <c r="L16" i="48" s="1"/>
  <c r="K57" i="37"/>
  <c r="F57" i="37" s="1"/>
  <c r="K16" i="48" s="1"/>
  <c r="K56" i="37"/>
  <c r="F56" i="37" s="1"/>
  <c r="J16" i="48" s="1"/>
  <c r="E56" i="37"/>
  <c r="K55" i="37"/>
  <c r="B56" i="37" s="1"/>
  <c r="I11" i="48" s="1"/>
  <c r="E38" i="48" s="1"/>
  <c r="G55" i="37"/>
  <c r="F55" i="37"/>
  <c r="I16" i="48" s="1"/>
  <c r="E55" i="37"/>
  <c r="K54" i="37"/>
  <c r="K53" i="37"/>
  <c r="F53" i="37" s="1"/>
  <c r="H16" i="48" s="1"/>
  <c r="E53" i="37"/>
  <c r="H13" i="48" s="1"/>
  <c r="K52" i="37"/>
  <c r="F52" i="37" s="1"/>
  <c r="G16" i="48" s="1"/>
  <c r="E52" i="37"/>
  <c r="K51" i="37"/>
  <c r="F51" i="37" s="1"/>
  <c r="F16" i="48" s="1"/>
  <c r="K50" i="37"/>
  <c r="F50" i="37" s="1"/>
  <c r="E16" i="48" s="1"/>
  <c r="K49" i="37"/>
  <c r="F49" i="37" s="1"/>
  <c r="D16" i="48" s="1"/>
  <c r="K48" i="37"/>
  <c r="G48" i="37" s="1"/>
  <c r="K47" i="37"/>
  <c r="K46" i="37"/>
  <c r="E46" i="37" s="1"/>
  <c r="K45" i="37"/>
  <c r="F45" i="37" s="1"/>
  <c r="S10" i="48" s="1"/>
  <c r="K44" i="37"/>
  <c r="E44" i="37" s="1"/>
  <c r="F44" i="37"/>
  <c r="R10" i="48" s="1"/>
  <c r="K43" i="37"/>
  <c r="E43" i="37" s="1"/>
  <c r="F43" i="37"/>
  <c r="Q10" i="48" s="1"/>
  <c r="K42" i="37"/>
  <c r="E42" i="37" s="1"/>
  <c r="F42" i="37"/>
  <c r="P10" i="48" s="1"/>
  <c r="B42" i="37"/>
  <c r="D46" i="37" s="1"/>
  <c r="K41" i="37"/>
  <c r="G41" i="37" s="1"/>
  <c r="F41" i="37"/>
  <c r="O10" i="48" s="1"/>
  <c r="K40" i="37"/>
  <c r="K39" i="37"/>
  <c r="E39" i="37" s="1"/>
  <c r="N8" i="48" s="1"/>
  <c r="F39" i="37"/>
  <c r="N10" i="48" s="1"/>
  <c r="K38" i="37"/>
  <c r="E38" i="37" s="1"/>
  <c r="F38" i="37"/>
  <c r="M10" i="48" s="1"/>
  <c r="K37" i="37"/>
  <c r="E37" i="37" s="1"/>
  <c r="K36" i="37"/>
  <c r="E36" i="37" s="1"/>
  <c r="K35" i="37"/>
  <c r="F35" i="37" s="1"/>
  <c r="J10" i="48" s="1"/>
  <c r="K34" i="37"/>
  <c r="E34" i="37" s="1"/>
  <c r="K33" i="37"/>
  <c r="K32" i="37"/>
  <c r="F32" i="37" s="1"/>
  <c r="H10" i="48" s="1"/>
  <c r="K31" i="37"/>
  <c r="F31" i="37" s="1"/>
  <c r="G10" i="48" s="1"/>
  <c r="K30" i="37"/>
  <c r="F30" i="37" s="1"/>
  <c r="F10" i="48" s="1"/>
  <c r="K29" i="37"/>
  <c r="F29" i="37" s="1"/>
  <c r="E10" i="48" s="1"/>
  <c r="K28" i="37"/>
  <c r="F28" i="37" s="1"/>
  <c r="D10" i="48" s="1"/>
  <c r="E28" i="37"/>
  <c r="K27" i="37"/>
  <c r="B28" i="37" s="1"/>
  <c r="C6" i="48" s="1"/>
  <c r="B36" i="48" s="1"/>
  <c r="G27" i="37"/>
  <c r="F27" i="37"/>
  <c r="C10" i="48" s="1"/>
  <c r="E27" i="37"/>
  <c r="K26" i="37"/>
  <c r="K25" i="37"/>
  <c r="F25" i="37" s="1"/>
  <c r="T5" i="48" s="1"/>
  <c r="E25" i="37"/>
  <c r="K24" i="37"/>
  <c r="F24" i="37" s="1"/>
  <c r="S5" i="48" s="1"/>
  <c r="E24" i="37"/>
  <c r="K23" i="37"/>
  <c r="F23" i="37" s="1"/>
  <c r="R5" i="48" s="1"/>
  <c r="K22" i="37"/>
  <c r="F22" i="37" s="1"/>
  <c r="Q5" i="48" s="1"/>
  <c r="K21" i="37"/>
  <c r="F21" i="37" s="1"/>
  <c r="P5" i="48" s="1"/>
  <c r="K20" i="37"/>
  <c r="B21" i="37" s="1"/>
  <c r="O1" i="48" s="1"/>
  <c r="J34" i="48" s="1"/>
  <c r="K19" i="37"/>
  <c r="K18" i="37"/>
  <c r="E18" i="37" s="1"/>
  <c r="K17" i="37"/>
  <c r="F17" i="37" s="1"/>
  <c r="M5" i="48" s="1"/>
  <c r="K16" i="37"/>
  <c r="E16" i="37" s="1"/>
  <c r="K15" i="37"/>
  <c r="F15" i="37"/>
  <c r="K5" i="48" s="1"/>
  <c r="E15" i="37"/>
  <c r="K14" i="37"/>
  <c r="F14" i="37" s="1"/>
  <c r="J5" i="48" s="1"/>
  <c r="E14" i="37"/>
  <c r="B14" i="37"/>
  <c r="D18" i="37" s="1"/>
  <c r="K13" i="37"/>
  <c r="E13" i="37" s="1"/>
  <c r="G13" i="37"/>
  <c r="K12" i="37"/>
  <c r="K11" i="37"/>
  <c r="F11" i="37"/>
  <c r="H5" i="48" s="1"/>
  <c r="E11" i="37"/>
  <c r="K10" i="37"/>
  <c r="F10" i="37" s="1"/>
  <c r="G5" i="48" s="1"/>
  <c r="E10" i="37"/>
  <c r="K9" i="37"/>
  <c r="F9" i="37" s="1"/>
  <c r="F5" i="48" s="1"/>
  <c r="E9" i="37"/>
  <c r="K8" i="37"/>
  <c r="E8" i="37" s="1"/>
  <c r="K7" i="37"/>
  <c r="F7" i="37" s="1"/>
  <c r="D5" i="48" s="1"/>
  <c r="K6" i="37"/>
  <c r="E6" i="37" s="1"/>
  <c r="D2" i="37"/>
  <c r="K123" i="36"/>
  <c r="F123" i="36" s="1"/>
  <c r="H32" i="47" s="1"/>
  <c r="K122" i="36"/>
  <c r="E122" i="36" s="1"/>
  <c r="F122" i="36"/>
  <c r="G32" i="47" s="1"/>
  <c r="K121" i="36"/>
  <c r="F121" i="36" s="1"/>
  <c r="F32" i="47" s="1"/>
  <c r="K120" i="36"/>
  <c r="F120" i="36" s="1"/>
  <c r="E32" i="47" s="1"/>
  <c r="K119" i="36"/>
  <c r="E119" i="36" s="1"/>
  <c r="F119" i="36"/>
  <c r="D32" i="47" s="1"/>
  <c r="K118" i="36"/>
  <c r="E118" i="36" s="1"/>
  <c r="G118" i="36"/>
  <c r="F118" i="36"/>
  <c r="C32" i="47" s="1"/>
  <c r="K117" i="36"/>
  <c r="K116" i="36"/>
  <c r="E116" i="36" s="1"/>
  <c r="F116" i="36"/>
  <c r="T26" i="47" s="1"/>
  <c r="K115" i="36"/>
  <c r="F115" i="36"/>
  <c r="S26" i="47" s="1"/>
  <c r="E115" i="36"/>
  <c r="K114" i="36"/>
  <c r="F114" i="36" s="1"/>
  <c r="R26" i="47" s="1"/>
  <c r="K113" i="36"/>
  <c r="F113" i="36" s="1"/>
  <c r="Q26" i="47" s="1"/>
  <c r="K112" i="36"/>
  <c r="E112" i="36" s="1"/>
  <c r="B112" i="36"/>
  <c r="D112" i="36" s="1"/>
  <c r="K111" i="36"/>
  <c r="G111" i="36" s="1"/>
  <c r="K110" i="36"/>
  <c r="K109" i="36"/>
  <c r="F109" i="36" s="1"/>
  <c r="N26" i="47" s="1"/>
  <c r="K108" i="36"/>
  <c r="F108" i="36" s="1"/>
  <c r="M26" i="47" s="1"/>
  <c r="K107" i="36"/>
  <c r="F107" i="36" s="1"/>
  <c r="L26" i="47" s="1"/>
  <c r="E107" i="36"/>
  <c r="K106" i="36"/>
  <c r="E106" i="36" s="1"/>
  <c r="K24" i="47" s="1"/>
  <c r="F106" i="36"/>
  <c r="K26" i="47" s="1"/>
  <c r="K105" i="36"/>
  <c r="F105" i="36"/>
  <c r="J26" i="47" s="1"/>
  <c r="E105" i="36"/>
  <c r="K104" i="36"/>
  <c r="F104" i="36" s="1"/>
  <c r="I26" i="47" s="1"/>
  <c r="G104" i="36"/>
  <c r="K103" i="36"/>
  <c r="K102" i="36"/>
  <c r="E102" i="36" s="1"/>
  <c r="K101" i="36"/>
  <c r="F101" i="36"/>
  <c r="G26" i="47" s="1"/>
  <c r="E101" i="36"/>
  <c r="K100" i="36"/>
  <c r="F100" i="36" s="1"/>
  <c r="F26" i="47" s="1"/>
  <c r="E100" i="36"/>
  <c r="K99" i="36"/>
  <c r="F99" i="36" s="1"/>
  <c r="E26" i="47" s="1"/>
  <c r="K98" i="36"/>
  <c r="F98" i="36" s="1"/>
  <c r="D26" i="47" s="1"/>
  <c r="B98" i="36"/>
  <c r="D101" i="36" s="1"/>
  <c r="K97" i="36"/>
  <c r="F97" i="36" s="1"/>
  <c r="C26" i="47" s="1"/>
  <c r="G97" i="36"/>
  <c r="E97" i="36"/>
  <c r="K96" i="36"/>
  <c r="K95" i="36"/>
  <c r="F95" i="36" s="1"/>
  <c r="T21" i="47" s="1"/>
  <c r="K94" i="36"/>
  <c r="E94" i="36" s="1"/>
  <c r="F94" i="36"/>
  <c r="S21" i="47" s="1"/>
  <c r="K93" i="36"/>
  <c r="F93" i="36" s="1"/>
  <c r="R21" i="47" s="1"/>
  <c r="K92" i="36"/>
  <c r="E92" i="36" s="1"/>
  <c r="Q19" i="47" s="1"/>
  <c r="K91" i="36"/>
  <c r="F91" i="36" s="1"/>
  <c r="P21" i="47" s="1"/>
  <c r="B91" i="36"/>
  <c r="D91" i="36" s="1"/>
  <c r="K90" i="36"/>
  <c r="E90" i="36" s="1"/>
  <c r="O19" i="47" s="1"/>
  <c r="G90" i="36"/>
  <c r="F90" i="36"/>
  <c r="O21" i="47" s="1"/>
  <c r="K89" i="36"/>
  <c r="K88" i="36"/>
  <c r="E88" i="36" s="1"/>
  <c r="N19" i="47" s="1"/>
  <c r="K87" i="36"/>
  <c r="E87" i="36" s="1"/>
  <c r="M19" i="47" s="1"/>
  <c r="F87" i="36"/>
  <c r="M21" i="47" s="1"/>
  <c r="K86" i="36"/>
  <c r="F86" i="36" s="1"/>
  <c r="L21" i="47" s="1"/>
  <c r="E86" i="36"/>
  <c r="K85" i="36"/>
  <c r="F85" i="36" s="1"/>
  <c r="K21" i="47" s="1"/>
  <c r="K84" i="36"/>
  <c r="E84" i="36" s="1"/>
  <c r="F84" i="36"/>
  <c r="J21" i="47" s="1"/>
  <c r="B84" i="36"/>
  <c r="D84" i="36" s="1"/>
  <c r="K83" i="36"/>
  <c r="G83" i="36" s="1"/>
  <c r="K82" i="36"/>
  <c r="K81" i="36"/>
  <c r="E81" i="36" s="1"/>
  <c r="F81" i="36"/>
  <c r="H21" i="47" s="1"/>
  <c r="K80" i="36"/>
  <c r="F80" i="36" s="1"/>
  <c r="G21" i="47" s="1"/>
  <c r="K79" i="36"/>
  <c r="F79" i="36" s="1"/>
  <c r="F21" i="47" s="1"/>
  <c r="E79" i="36"/>
  <c r="K78" i="36"/>
  <c r="E78" i="36" s="1"/>
  <c r="K77" i="36"/>
  <c r="E77" i="36" s="1"/>
  <c r="F77" i="36"/>
  <c r="D21" i="47" s="1"/>
  <c r="K76" i="36"/>
  <c r="E76" i="36" s="1"/>
  <c r="K75" i="36"/>
  <c r="K74" i="36"/>
  <c r="E74" i="36" s="1"/>
  <c r="T13" i="47" s="1"/>
  <c r="K73" i="36"/>
  <c r="F73" i="36" s="1"/>
  <c r="S16" i="47" s="1"/>
  <c r="K72" i="36"/>
  <c r="F72" i="36" s="1"/>
  <c r="R16" i="47" s="1"/>
  <c r="K71" i="36"/>
  <c r="F71" i="36" s="1"/>
  <c r="Q16" i="47" s="1"/>
  <c r="E71" i="36"/>
  <c r="K70" i="36"/>
  <c r="F70" i="36" s="1"/>
  <c r="P16" i="47" s="1"/>
  <c r="K69" i="36"/>
  <c r="F69" i="36" s="1"/>
  <c r="O16" i="47" s="1"/>
  <c r="K68" i="36"/>
  <c r="K67" i="36"/>
  <c r="K66" i="36"/>
  <c r="D66" i="36"/>
  <c r="K65" i="36"/>
  <c r="D65" i="36"/>
  <c r="K64" i="36"/>
  <c r="K63" i="36"/>
  <c r="K62" i="36"/>
  <c r="K61" i="36"/>
  <c r="K60" i="36"/>
  <c r="F60" i="36" s="1"/>
  <c r="N16" i="47" s="1"/>
  <c r="K59" i="36"/>
  <c r="E59" i="36" s="1"/>
  <c r="F59" i="36"/>
  <c r="M16" i="47" s="1"/>
  <c r="K58" i="36"/>
  <c r="F58" i="36" s="1"/>
  <c r="L16" i="47" s="1"/>
  <c r="K57" i="36"/>
  <c r="E57" i="36" s="1"/>
  <c r="K13" i="47" s="1"/>
  <c r="F57" i="36"/>
  <c r="K16" i="47" s="1"/>
  <c r="K56" i="36"/>
  <c r="E56" i="36" s="1"/>
  <c r="J13" i="47" s="1"/>
  <c r="F56" i="36"/>
  <c r="J16" i="47" s="1"/>
  <c r="K55" i="36"/>
  <c r="E55" i="36" s="1"/>
  <c r="K54" i="36"/>
  <c r="K53" i="36"/>
  <c r="E53" i="36" s="1"/>
  <c r="H13" i="47" s="1"/>
  <c r="F53" i="36"/>
  <c r="H16" i="47" s="1"/>
  <c r="K52" i="36"/>
  <c r="F52" i="36" s="1"/>
  <c r="G16" i="47" s="1"/>
  <c r="E52" i="36"/>
  <c r="K51" i="36"/>
  <c r="F51" i="36" s="1"/>
  <c r="F16" i="47" s="1"/>
  <c r="E51" i="36"/>
  <c r="K50" i="36"/>
  <c r="F50" i="36" s="1"/>
  <c r="E16" i="47" s="1"/>
  <c r="K49" i="36"/>
  <c r="E49" i="36" s="1"/>
  <c r="F49" i="36"/>
  <c r="D16" i="47" s="1"/>
  <c r="B49" i="36"/>
  <c r="D49" i="36" s="1"/>
  <c r="K48" i="36"/>
  <c r="G48" i="36" s="1"/>
  <c r="K47" i="36"/>
  <c r="K46" i="36"/>
  <c r="F46" i="36" s="1"/>
  <c r="T10" i="47" s="1"/>
  <c r="E46" i="36"/>
  <c r="K45" i="36"/>
  <c r="F45" i="36" s="1"/>
  <c r="S10" i="47" s="1"/>
  <c r="K44" i="36"/>
  <c r="F44" i="36" s="1"/>
  <c r="R10" i="47" s="1"/>
  <c r="K43" i="36"/>
  <c r="E43" i="36" s="1"/>
  <c r="F43" i="36"/>
  <c r="Q10" i="47" s="1"/>
  <c r="K42" i="36"/>
  <c r="F42" i="36"/>
  <c r="P10" i="47" s="1"/>
  <c r="E42" i="36"/>
  <c r="B42" i="36"/>
  <c r="D43" i="36" s="1"/>
  <c r="K41" i="36"/>
  <c r="G41" i="36" s="1"/>
  <c r="F41" i="36"/>
  <c r="O10" i="47" s="1"/>
  <c r="E41" i="36"/>
  <c r="K40" i="36"/>
  <c r="K39" i="36"/>
  <c r="E39" i="36" s="1"/>
  <c r="N8" i="47" s="1"/>
  <c r="F39" i="36"/>
  <c r="N10" i="47" s="1"/>
  <c r="K38" i="36"/>
  <c r="F38" i="36"/>
  <c r="M10" i="47" s="1"/>
  <c r="E38" i="36"/>
  <c r="K37" i="36"/>
  <c r="F37" i="36" s="1"/>
  <c r="L10" i="47" s="1"/>
  <c r="K36" i="36"/>
  <c r="F36" i="36" s="1"/>
  <c r="K10" i="47" s="1"/>
  <c r="E36" i="36"/>
  <c r="K35" i="36"/>
  <c r="F35" i="36" s="1"/>
  <c r="J10" i="47" s="1"/>
  <c r="K34" i="36"/>
  <c r="B35" i="36" s="1"/>
  <c r="I6" i="47" s="1"/>
  <c r="E36" i="47" s="1"/>
  <c r="G34" i="36"/>
  <c r="K33" i="36"/>
  <c r="K32" i="36"/>
  <c r="F32" i="36" s="1"/>
  <c r="H10" i="47" s="1"/>
  <c r="K31" i="36"/>
  <c r="E31" i="36" s="1"/>
  <c r="F31" i="36"/>
  <c r="G10" i="47" s="1"/>
  <c r="K30" i="36"/>
  <c r="F30" i="36" s="1"/>
  <c r="F10" i="47" s="1"/>
  <c r="K29" i="36"/>
  <c r="E29" i="36" s="1"/>
  <c r="K28" i="36"/>
  <c r="F28" i="36" s="1"/>
  <c r="D10" i="47" s="1"/>
  <c r="B28" i="36"/>
  <c r="D30" i="36" s="1"/>
  <c r="K27" i="36"/>
  <c r="E27" i="36" s="1"/>
  <c r="G27" i="36"/>
  <c r="K26" i="36"/>
  <c r="K25" i="36"/>
  <c r="E25" i="36" s="1"/>
  <c r="T3" i="47" s="1"/>
  <c r="F25" i="36"/>
  <c r="T5" i="47" s="1"/>
  <c r="K24" i="36"/>
  <c r="F24" i="36" s="1"/>
  <c r="S5" i="47" s="1"/>
  <c r="K23" i="36"/>
  <c r="F23" i="36" s="1"/>
  <c r="R5" i="47" s="1"/>
  <c r="K22" i="36"/>
  <c r="F22" i="36" s="1"/>
  <c r="Q5" i="47" s="1"/>
  <c r="K21" i="36"/>
  <c r="E21" i="36" s="1"/>
  <c r="K20" i="36"/>
  <c r="G20" i="36" s="1"/>
  <c r="K19" i="36"/>
  <c r="K18" i="36"/>
  <c r="F18" i="36"/>
  <c r="N5" i="47" s="1"/>
  <c r="E18" i="36"/>
  <c r="K17" i="36"/>
  <c r="F17" i="36" s="1"/>
  <c r="M5" i="47" s="1"/>
  <c r="K16" i="36"/>
  <c r="F16" i="36" s="1"/>
  <c r="L5" i="47" s="1"/>
  <c r="K15" i="36"/>
  <c r="E15" i="36" s="1"/>
  <c r="K14" i="36"/>
  <c r="E14" i="36" s="1"/>
  <c r="F14" i="36"/>
  <c r="J5" i="47" s="1"/>
  <c r="K13" i="36"/>
  <c r="G13" i="36" s="1"/>
  <c r="K12" i="36"/>
  <c r="K11" i="36"/>
  <c r="E11" i="36" s="1"/>
  <c r="K10" i="36"/>
  <c r="E10" i="36" s="1"/>
  <c r="F10" i="36"/>
  <c r="G5" i="47" s="1"/>
  <c r="K9" i="36"/>
  <c r="F9" i="36" s="1"/>
  <c r="F5" i="47" s="1"/>
  <c r="E9" i="36"/>
  <c r="K8" i="36"/>
  <c r="F8" i="36"/>
  <c r="E5" i="47" s="1"/>
  <c r="E8" i="36"/>
  <c r="K7" i="36"/>
  <c r="F7" i="36" s="1"/>
  <c r="D5" i="47" s="1"/>
  <c r="K6" i="36"/>
  <c r="B7" i="36" s="1"/>
  <c r="C1" i="47" s="1"/>
  <c r="B34" i="47" s="1"/>
  <c r="E6" i="36"/>
  <c r="D2" i="36"/>
  <c r="K123" i="31"/>
  <c r="F123" i="31" s="1"/>
  <c r="H32" i="24" s="1"/>
  <c r="K122" i="31"/>
  <c r="E122" i="31" s="1"/>
  <c r="F122" i="31"/>
  <c r="G32" i="24" s="1"/>
  <c r="K121" i="31"/>
  <c r="F121" i="31" s="1"/>
  <c r="F32" i="24" s="1"/>
  <c r="K120" i="31"/>
  <c r="F120" i="31"/>
  <c r="E32" i="24" s="1"/>
  <c r="E120" i="31"/>
  <c r="E30" i="24" s="1"/>
  <c r="K119" i="31"/>
  <c r="E119" i="31" s="1"/>
  <c r="F119" i="31"/>
  <c r="D32" i="24" s="1"/>
  <c r="B119" i="31"/>
  <c r="D122" i="31" s="1"/>
  <c r="K118" i="31"/>
  <c r="G118" i="31" s="1"/>
  <c r="F118" i="31"/>
  <c r="C32" i="24" s="1"/>
  <c r="E118" i="31"/>
  <c r="C30" i="24" s="1"/>
  <c r="K117" i="31"/>
  <c r="K116" i="31"/>
  <c r="F116" i="31" s="1"/>
  <c r="T26" i="24" s="1"/>
  <c r="E116" i="31"/>
  <c r="K115" i="31"/>
  <c r="F115" i="31" s="1"/>
  <c r="S26" i="24" s="1"/>
  <c r="E115" i="31"/>
  <c r="K114" i="31"/>
  <c r="F114" i="31" s="1"/>
  <c r="R26" i="24" s="1"/>
  <c r="K113" i="31"/>
  <c r="E113" i="31" s="1"/>
  <c r="F113" i="31"/>
  <c r="Q26" i="24" s="1"/>
  <c r="K112" i="31"/>
  <c r="E112" i="31" s="1"/>
  <c r="F112" i="31"/>
  <c r="P26" i="24" s="1"/>
  <c r="B112" i="31"/>
  <c r="D112" i="31" s="1"/>
  <c r="K111" i="31"/>
  <c r="G111" i="31"/>
  <c r="F111" i="31"/>
  <c r="O26" i="24" s="1"/>
  <c r="E111" i="31"/>
  <c r="O24" i="24" s="1"/>
  <c r="K110" i="31"/>
  <c r="K109" i="31"/>
  <c r="E109" i="31" s="1"/>
  <c r="K108" i="31"/>
  <c r="F108" i="31"/>
  <c r="M26" i="24" s="1"/>
  <c r="E108" i="31"/>
  <c r="K107" i="31"/>
  <c r="F107" i="31"/>
  <c r="L26" i="24" s="1"/>
  <c r="E107" i="31"/>
  <c r="L24" i="24" s="1"/>
  <c r="K106" i="31"/>
  <c r="F106" i="31" s="1"/>
  <c r="K26" i="24" s="1"/>
  <c r="E106" i="31"/>
  <c r="K105" i="31"/>
  <c r="F105" i="31" s="1"/>
  <c r="J26" i="24" s="1"/>
  <c r="E105" i="31"/>
  <c r="B105" i="31"/>
  <c r="D109" i="31" s="1"/>
  <c r="K104" i="31"/>
  <c r="G104" i="31"/>
  <c r="F104" i="31"/>
  <c r="I26" i="24" s="1"/>
  <c r="E104" i="31"/>
  <c r="K103" i="31"/>
  <c r="K102" i="31"/>
  <c r="F102" i="31"/>
  <c r="H26" i="24" s="1"/>
  <c r="E102" i="31"/>
  <c r="H24" i="24" s="1"/>
  <c r="K101" i="31"/>
  <c r="F101" i="31"/>
  <c r="G26" i="24" s="1"/>
  <c r="E101" i="31"/>
  <c r="K100" i="31"/>
  <c r="F100" i="31" s="1"/>
  <c r="F26" i="24" s="1"/>
  <c r="K99" i="31"/>
  <c r="E99" i="31" s="1"/>
  <c r="K98" i="31"/>
  <c r="F98" i="31"/>
  <c r="D26" i="24" s="1"/>
  <c r="E98" i="31"/>
  <c r="K97" i="31"/>
  <c r="E97" i="31" s="1"/>
  <c r="G97" i="31"/>
  <c r="K96" i="31"/>
  <c r="K95" i="31"/>
  <c r="E95" i="31" s="1"/>
  <c r="F95" i="31"/>
  <c r="T21" i="24" s="1"/>
  <c r="K94" i="31"/>
  <c r="E94" i="31" s="1"/>
  <c r="F94" i="31"/>
  <c r="S21" i="24" s="1"/>
  <c r="K93" i="31"/>
  <c r="F93" i="31" s="1"/>
  <c r="R21" i="24" s="1"/>
  <c r="K92" i="31"/>
  <c r="F92" i="31"/>
  <c r="Q21" i="24" s="1"/>
  <c r="E92" i="31"/>
  <c r="K91" i="31"/>
  <c r="F91" i="31"/>
  <c r="P21" i="24" s="1"/>
  <c r="E91" i="31"/>
  <c r="K90" i="31"/>
  <c r="B91" i="31" s="1"/>
  <c r="F90" i="31"/>
  <c r="O21" i="24" s="1"/>
  <c r="K89" i="31"/>
  <c r="K88" i="31"/>
  <c r="F88" i="31"/>
  <c r="N21" i="24" s="1"/>
  <c r="E88" i="31"/>
  <c r="K87" i="31"/>
  <c r="F87" i="31" s="1"/>
  <c r="M21" i="24" s="1"/>
  <c r="E87" i="31"/>
  <c r="M19" i="24" s="1"/>
  <c r="K86" i="31"/>
  <c r="F86" i="31" s="1"/>
  <c r="L21" i="24" s="1"/>
  <c r="K85" i="31"/>
  <c r="E85" i="31" s="1"/>
  <c r="F85" i="31"/>
  <c r="K21" i="24" s="1"/>
  <c r="K84" i="31"/>
  <c r="E84" i="31" s="1"/>
  <c r="F84" i="31"/>
  <c r="J21" i="24" s="1"/>
  <c r="B84" i="31"/>
  <c r="D84" i="31" s="1"/>
  <c r="K83" i="31"/>
  <c r="E83" i="31" s="1"/>
  <c r="G83" i="31"/>
  <c r="F83" i="31"/>
  <c r="I21" i="24" s="1"/>
  <c r="K82" i="31"/>
  <c r="K81" i="31"/>
  <c r="E81" i="31" s="1"/>
  <c r="K80" i="31"/>
  <c r="F80" i="31"/>
  <c r="G21" i="24" s="1"/>
  <c r="E80" i="31"/>
  <c r="K79" i="31"/>
  <c r="F79" i="31"/>
  <c r="F21" i="24" s="1"/>
  <c r="E79" i="31"/>
  <c r="K78" i="31"/>
  <c r="F78" i="31"/>
  <c r="E21" i="24" s="1"/>
  <c r="E78" i="31"/>
  <c r="K77" i="31"/>
  <c r="F77" i="31" s="1"/>
  <c r="D21" i="24" s="1"/>
  <c r="E77" i="31"/>
  <c r="K76" i="31"/>
  <c r="G76" i="31"/>
  <c r="F76" i="31"/>
  <c r="C21" i="24" s="1"/>
  <c r="E76" i="31"/>
  <c r="K75" i="31"/>
  <c r="K74" i="31"/>
  <c r="F74" i="31"/>
  <c r="T16" i="24" s="1"/>
  <c r="E74" i="31"/>
  <c r="K73" i="31"/>
  <c r="F73" i="31"/>
  <c r="S16" i="24" s="1"/>
  <c r="E73" i="31"/>
  <c r="K72" i="31"/>
  <c r="F72" i="31" s="1"/>
  <c r="R16" i="24" s="1"/>
  <c r="K71" i="31"/>
  <c r="E71" i="31" s="1"/>
  <c r="K70" i="31"/>
  <c r="F70" i="31"/>
  <c r="P16" i="24" s="1"/>
  <c r="E70" i="31"/>
  <c r="K69" i="31"/>
  <c r="E69" i="31" s="1"/>
  <c r="G69" i="31"/>
  <c r="K68" i="31"/>
  <c r="K67" i="31"/>
  <c r="K66" i="31"/>
  <c r="D66" i="31"/>
  <c r="K65" i="31"/>
  <c r="D65" i="31"/>
  <c r="K64" i="31"/>
  <c r="K63" i="31"/>
  <c r="K62" i="31"/>
  <c r="K61" i="31"/>
  <c r="K60" i="31"/>
  <c r="E60" i="31" s="1"/>
  <c r="F60" i="31"/>
  <c r="N16" i="24" s="1"/>
  <c r="K59" i="31"/>
  <c r="E59" i="31" s="1"/>
  <c r="F59" i="31"/>
  <c r="M16" i="24" s="1"/>
  <c r="K58" i="31"/>
  <c r="F58" i="31" s="1"/>
  <c r="L16" i="24" s="1"/>
  <c r="E58" i="31"/>
  <c r="L13" i="24" s="1"/>
  <c r="K57" i="31"/>
  <c r="F57" i="31"/>
  <c r="K16" i="24" s="1"/>
  <c r="E57" i="31"/>
  <c r="K13" i="24" s="1"/>
  <c r="K56" i="31"/>
  <c r="F56" i="31"/>
  <c r="J16" i="24" s="1"/>
  <c r="E56" i="31"/>
  <c r="K55" i="31"/>
  <c r="K54" i="31"/>
  <c r="K53" i="31"/>
  <c r="F53" i="31"/>
  <c r="H16" i="24" s="1"/>
  <c r="E53" i="31"/>
  <c r="K52" i="31"/>
  <c r="E52" i="31" s="1"/>
  <c r="K51" i="31"/>
  <c r="F51" i="31" s="1"/>
  <c r="F16" i="24" s="1"/>
  <c r="K50" i="31"/>
  <c r="E50" i="31" s="1"/>
  <c r="F50" i="31"/>
  <c r="E16" i="24" s="1"/>
  <c r="K49" i="31"/>
  <c r="E49" i="31" s="1"/>
  <c r="F49" i="31"/>
  <c r="D16" i="24" s="1"/>
  <c r="K48" i="31"/>
  <c r="E48" i="31" s="1"/>
  <c r="G48" i="31"/>
  <c r="F48" i="31"/>
  <c r="C16" i="24" s="1"/>
  <c r="K47" i="31"/>
  <c r="K46" i="31"/>
  <c r="E46" i="31" s="1"/>
  <c r="K45" i="31"/>
  <c r="F45" i="31"/>
  <c r="S10" i="24" s="1"/>
  <c r="E45" i="31"/>
  <c r="K44" i="31"/>
  <c r="F44" i="31"/>
  <c r="R10" i="24" s="1"/>
  <c r="E44" i="31"/>
  <c r="R8" i="24" s="1"/>
  <c r="K43" i="31"/>
  <c r="F43" i="31"/>
  <c r="Q10" i="24" s="1"/>
  <c r="E43" i="31"/>
  <c r="K42" i="31"/>
  <c r="E42" i="31" s="1"/>
  <c r="K41" i="31"/>
  <c r="G41" i="31"/>
  <c r="F41" i="31"/>
  <c r="O10" i="24" s="1"/>
  <c r="E41" i="31"/>
  <c r="K40" i="31"/>
  <c r="K39" i="31"/>
  <c r="F39" i="31"/>
  <c r="N10" i="24" s="1"/>
  <c r="E39" i="31"/>
  <c r="K38" i="31"/>
  <c r="F38" i="31"/>
  <c r="M10" i="24" s="1"/>
  <c r="E38" i="31"/>
  <c r="K37" i="31"/>
  <c r="F37" i="31" s="1"/>
  <c r="L10" i="24" s="1"/>
  <c r="K36" i="31"/>
  <c r="E36" i="31" s="1"/>
  <c r="K35" i="31"/>
  <c r="F35" i="31"/>
  <c r="J10" i="24" s="1"/>
  <c r="E35" i="31"/>
  <c r="K34" i="31"/>
  <c r="E34" i="31" s="1"/>
  <c r="G34" i="31"/>
  <c r="K33" i="31"/>
  <c r="K32" i="31"/>
  <c r="E32" i="31" s="1"/>
  <c r="F32" i="31"/>
  <c r="H10" i="24" s="1"/>
  <c r="K31" i="31"/>
  <c r="E31" i="31" s="1"/>
  <c r="F31" i="31"/>
  <c r="G10" i="24" s="1"/>
  <c r="K30" i="31"/>
  <c r="F30" i="31" s="1"/>
  <c r="F10" i="24" s="1"/>
  <c r="E30" i="31"/>
  <c r="K29" i="31"/>
  <c r="F29" i="31"/>
  <c r="E10" i="24" s="1"/>
  <c r="E29" i="31"/>
  <c r="K28" i="31"/>
  <c r="F28" i="31"/>
  <c r="D10" i="24" s="1"/>
  <c r="E28" i="31"/>
  <c r="K27" i="31"/>
  <c r="K26" i="31"/>
  <c r="K25" i="31"/>
  <c r="F25" i="31"/>
  <c r="T5" i="24" s="1"/>
  <c r="E25" i="31"/>
  <c r="K24" i="31"/>
  <c r="F24" i="31" s="1"/>
  <c r="S5" i="24" s="1"/>
  <c r="K23" i="31"/>
  <c r="F23" i="31" s="1"/>
  <c r="R5" i="24" s="1"/>
  <c r="K22" i="31"/>
  <c r="E22" i="31" s="1"/>
  <c r="F22" i="31"/>
  <c r="Q5" i="24" s="1"/>
  <c r="K21" i="31"/>
  <c r="E21" i="31" s="1"/>
  <c r="F21" i="31"/>
  <c r="P5" i="24" s="1"/>
  <c r="K20" i="31"/>
  <c r="E20" i="31" s="1"/>
  <c r="G20" i="31"/>
  <c r="F20" i="31"/>
  <c r="O5" i="24" s="1"/>
  <c r="K19" i="31"/>
  <c r="K18" i="31"/>
  <c r="E18" i="31" s="1"/>
  <c r="K17" i="31"/>
  <c r="F17" i="31"/>
  <c r="M5" i="24" s="1"/>
  <c r="E17" i="31"/>
  <c r="K16" i="31"/>
  <c r="F16" i="31"/>
  <c r="L5" i="24" s="1"/>
  <c r="E16" i="31"/>
  <c r="K15" i="31"/>
  <c r="F15" i="31"/>
  <c r="K5" i="24" s="1"/>
  <c r="E15" i="31"/>
  <c r="K14" i="31"/>
  <c r="E14" i="31" s="1"/>
  <c r="K13" i="31"/>
  <c r="G13" i="31"/>
  <c r="F13" i="31"/>
  <c r="I5" i="24" s="1"/>
  <c r="E13" i="31"/>
  <c r="K12" i="31"/>
  <c r="K11" i="31"/>
  <c r="F11" i="31"/>
  <c r="H5" i="24" s="1"/>
  <c r="E11" i="31"/>
  <c r="K10" i="31"/>
  <c r="F10" i="31"/>
  <c r="G5" i="24" s="1"/>
  <c r="E10" i="31"/>
  <c r="K9" i="31"/>
  <c r="F9" i="31" s="1"/>
  <c r="F5" i="24" s="1"/>
  <c r="K8" i="31"/>
  <c r="E8" i="31" s="1"/>
  <c r="K7" i="31"/>
  <c r="F7" i="31"/>
  <c r="D5" i="24" s="1"/>
  <c r="E7" i="31"/>
  <c r="K6" i="31"/>
  <c r="G6" i="31"/>
  <c r="D2" i="31"/>
  <c r="B98" i="35"/>
  <c r="C22" i="46" s="1"/>
  <c r="B42" i="46" s="1"/>
  <c r="B84" i="35"/>
  <c r="I17" i="46" s="1"/>
  <c r="E40" i="46" s="1"/>
  <c r="F123" i="35"/>
  <c r="H32" i="46" s="1"/>
  <c r="F122" i="35"/>
  <c r="G32" i="46" s="1"/>
  <c r="E118" i="35"/>
  <c r="C30" i="46" s="1"/>
  <c r="E116" i="35"/>
  <c r="T24" i="46" s="1"/>
  <c r="F111" i="35"/>
  <c r="O26" i="46" s="1"/>
  <c r="F109" i="35"/>
  <c r="N26" i="46" s="1"/>
  <c r="E104" i="35"/>
  <c r="I24" i="46" s="1"/>
  <c r="E98" i="35"/>
  <c r="D24" i="46" s="1"/>
  <c r="F97" i="35"/>
  <c r="C26" i="46" s="1"/>
  <c r="G90" i="35"/>
  <c r="E85" i="35"/>
  <c r="E84" i="35"/>
  <c r="J19" i="46" s="1"/>
  <c r="F78" i="35"/>
  <c r="E21" i="46" s="1"/>
  <c r="F77" i="35"/>
  <c r="D21" i="46" s="1"/>
  <c r="E72" i="35"/>
  <c r="R13" i="46" s="1"/>
  <c r="E71" i="35"/>
  <c r="Q13" i="46" s="1"/>
  <c r="F58" i="35"/>
  <c r="L16" i="46" s="1"/>
  <c r="F57" i="35"/>
  <c r="K16" i="46" s="1"/>
  <c r="E52" i="35"/>
  <c r="E51" i="35"/>
  <c r="F45" i="35"/>
  <c r="S10" i="46" s="1"/>
  <c r="F44" i="35"/>
  <c r="R10" i="46" s="1"/>
  <c r="E38" i="35"/>
  <c r="M8" i="46" s="1"/>
  <c r="F32" i="35"/>
  <c r="H10" i="46" s="1"/>
  <c r="F31" i="35"/>
  <c r="G10" i="46" s="1"/>
  <c r="E25" i="35"/>
  <c r="T3" i="46" s="1"/>
  <c r="F20" i="35"/>
  <c r="O5" i="46" s="1"/>
  <c r="F18" i="35"/>
  <c r="N5" i="46" s="1"/>
  <c r="G13" i="35"/>
  <c r="E13" i="35"/>
  <c r="I3" i="46" s="1"/>
  <c r="E11" i="35"/>
  <c r="H3" i="46" s="1"/>
  <c r="F6" i="35"/>
  <c r="C5" i="46" s="1"/>
  <c r="K123" i="35"/>
  <c r="E123" i="35" s="1"/>
  <c r="H30" i="46" s="1"/>
  <c r="K122" i="35"/>
  <c r="E122" i="35" s="1"/>
  <c r="G30" i="46" s="1"/>
  <c r="K121" i="35"/>
  <c r="F121" i="35" s="1"/>
  <c r="F32" i="46" s="1"/>
  <c r="K120" i="35"/>
  <c r="K119" i="35"/>
  <c r="K118" i="35"/>
  <c r="F118" i="35" s="1"/>
  <c r="C32" i="46" s="1"/>
  <c r="K117" i="35"/>
  <c r="K116" i="35"/>
  <c r="F116" i="35" s="1"/>
  <c r="T26" i="46" s="1"/>
  <c r="K115" i="35"/>
  <c r="F115" i="35" s="1"/>
  <c r="S26" i="46" s="1"/>
  <c r="K114" i="35"/>
  <c r="K113" i="35"/>
  <c r="K112" i="35"/>
  <c r="F112" i="35" s="1"/>
  <c r="P26" i="46" s="1"/>
  <c r="K111" i="35"/>
  <c r="B112" i="35" s="1"/>
  <c r="O22" i="46" s="1"/>
  <c r="J42" i="46" s="1"/>
  <c r="K110" i="35"/>
  <c r="K109" i="35"/>
  <c r="E109" i="35" s="1"/>
  <c r="N24" i="46" s="1"/>
  <c r="K108" i="35"/>
  <c r="F108" i="35" s="1"/>
  <c r="M26" i="46" s="1"/>
  <c r="K107" i="35"/>
  <c r="F107" i="35" s="1"/>
  <c r="L26" i="46" s="1"/>
  <c r="K106" i="35"/>
  <c r="K105" i="35"/>
  <c r="K104" i="35"/>
  <c r="B105" i="35" s="1"/>
  <c r="I22" i="46" s="1"/>
  <c r="E42" i="46" s="1"/>
  <c r="K103" i="35"/>
  <c r="K102" i="35"/>
  <c r="E102" i="35" s="1"/>
  <c r="H24" i="46" s="1"/>
  <c r="K101" i="35"/>
  <c r="F101" i="35" s="1"/>
  <c r="G26" i="46" s="1"/>
  <c r="K100" i="35"/>
  <c r="F100" i="35" s="1"/>
  <c r="F26" i="46" s="1"/>
  <c r="K99" i="35"/>
  <c r="F99" i="35" s="1"/>
  <c r="E26" i="46" s="1"/>
  <c r="K98" i="35"/>
  <c r="F98" i="35" s="1"/>
  <c r="D26" i="46" s="1"/>
  <c r="K97" i="35"/>
  <c r="G97" i="35" s="1"/>
  <c r="K96" i="35"/>
  <c r="K95" i="35"/>
  <c r="K94" i="35"/>
  <c r="F94" i="35" s="1"/>
  <c r="S21" i="46" s="1"/>
  <c r="K93" i="35"/>
  <c r="F93" i="35" s="1"/>
  <c r="R21" i="46" s="1"/>
  <c r="K92" i="35"/>
  <c r="K91" i="35"/>
  <c r="F91" i="35" s="1"/>
  <c r="P21" i="46" s="1"/>
  <c r="K90" i="35"/>
  <c r="E90" i="35" s="1"/>
  <c r="O19" i="46" s="1"/>
  <c r="K89" i="35"/>
  <c r="K88" i="35"/>
  <c r="F88" i="35" s="1"/>
  <c r="N21" i="46" s="1"/>
  <c r="K87" i="35"/>
  <c r="F87" i="35" s="1"/>
  <c r="M21" i="46" s="1"/>
  <c r="K86" i="35"/>
  <c r="F86" i="35" s="1"/>
  <c r="L21" i="46" s="1"/>
  <c r="K85" i="35"/>
  <c r="F85" i="35" s="1"/>
  <c r="K21" i="46" s="1"/>
  <c r="K84" i="35"/>
  <c r="F84" i="35" s="1"/>
  <c r="J21" i="46" s="1"/>
  <c r="K83" i="35"/>
  <c r="F83" i="35" s="1"/>
  <c r="I21" i="46" s="1"/>
  <c r="K82" i="35"/>
  <c r="K81" i="35"/>
  <c r="E81" i="35" s="1"/>
  <c r="H19" i="46" s="1"/>
  <c r="K80" i="35"/>
  <c r="K79" i="35"/>
  <c r="F79" i="35" s="1"/>
  <c r="F21" i="46" s="1"/>
  <c r="K78" i="35"/>
  <c r="K77" i="35"/>
  <c r="E77" i="35" s="1"/>
  <c r="D19" i="46" s="1"/>
  <c r="K76" i="35"/>
  <c r="G76" i="35" s="1"/>
  <c r="K75" i="35"/>
  <c r="K74" i="35"/>
  <c r="E74" i="35" s="1"/>
  <c r="T13" i="46" s="1"/>
  <c r="K73" i="35"/>
  <c r="F73" i="35" s="1"/>
  <c r="S16" i="46" s="1"/>
  <c r="K72" i="35"/>
  <c r="F72" i="35" s="1"/>
  <c r="R16" i="46" s="1"/>
  <c r="K71" i="35"/>
  <c r="F71" i="35" s="1"/>
  <c r="Q16" i="46" s="1"/>
  <c r="K70" i="35"/>
  <c r="E70" i="35" s="1"/>
  <c r="P13" i="46" s="1"/>
  <c r="K69" i="35"/>
  <c r="K68" i="35"/>
  <c r="K67" i="35"/>
  <c r="K66" i="35"/>
  <c r="D66" i="35"/>
  <c r="K65" i="35"/>
  <c r="D65" i="35"/>
  <c r="K64" i="35"/>
  <c r="K63" i="35"/>
  <c r="K62" i="35"/>
  <c r="K61" i="35"/>
  <c r="K60" i="35"/>
  <c r="K59" i="35"/>
  <c r="F59" i="35" s="1"/>
  <c r="M16" i="46" s="1"/>
  <c r="K58" i="35"/>
  <c r="K57" i="35"/>
  <c r="E57" i="35" s="1"/>
  <c r="K13" i="46" s="1"/>
  <c r="K56" i="35"/>
  <c r="F56" i="35" s="1"/>
  <c r="J16" i="46" s="1"/>
  <c r="K55" i="35"/>
  <c r="B56" i="35" s="1"/>
  <c r="I11" i="46" s="1"/>
  <c r="E38" i="46" s="1"/>
  <c r="K54" i="35"/>
  <c r="K53" i="35"/>
  <c r="F53" i="35" s="1"/>
  <c r="H16" i="46" s="1"/>
  <c r="K52" i="35"/>
  <c r="F52" i="35" s="1"/>
  <c r="G16" i="46" s="1"/>
  <c r="K51" i="35"/>
  <c r="F51" i="35" s="1"/>
  <c r="F16" i="46" s="1"/>
  <c r="K50" i="35"/>
  <c r="F50" i="35" s="1"/>
  <c r="E16" i="46" s="1"/>
  <c r="K49" i="35"/>
  <c r="K48" i="35"/>
  <c r="B49" i="35" s="1"/>
  <c r="C11" i="46" s="1"/>
  <c r="B38" i="46" s="1"/>
  <c r="K47" i="35"/>
  <c r="K46" i="35"/>
  <c r="F46" i="35" s="1"/>
  <c r="T10" i="46" s="1"/>
  <c r="K45" i="35"/>
  <c r="E45" i="35" s="1"/>
  <c r="S8" i="46" s="1"/>
  <c r="K44" i="35"/>
  <c r="E44" i="35" s="1"/>
  <c r="R8" i="46" s="1"/>
  <c r="K43" i="35"/>
  <c r="K42" i="35"/>
  <c r="F42" i="35" s="1"/>
  <c r="P10" i="46" s="1"/>
  <c r="K41" i="35"/>
  <c r="B42" i="35" s="1"/>
  <c r="O6" i="46" s="1"/>
  <c r="J36" i="46" s="1"/>
  <c r="K40" i="35"/>
  <c r="K39" i="35"/>
  <c r="K38" i="35"/>
  <c r="F38" i="35" s="1"/>
  <c r="M10" i="46" s="1"/>
  <c r="K37" i="35"/>
  <c r="E37" i="35" s="1"/>
  <c r="L8" i="46" s="1"/>
  <c r="K36" i="35"/>
  <c r="F36" i="35" s="1"/>
  <c r="K10" i="46" s="1"/>
  <c r="K35" i="35"/>
  <c r="F35" i="35" s="1"/>
  <c r="J10" i="46" s="1"/>
  <c r="K34" i="35"/>
  <c r="B35" i="35" s="1"/>
  <c r="I6" i="46" s="1"/>
  <c r="E36" i="46" s="1"/>
  <c r="K33" i="35"/>
  <c r="K32" i="35"/>
  <c r="E32" i="35" s="1"/>
  <c r="K31" i="35"/>
  <c r="E31" i="35" s="1"/>
  <c r="G8" i="46" s="1"/>
  <c r="K30" i="35"/>
  <c r="F30" i="35" s="1"/>
  <c r="F10" i="46" s="1"/>
  <c r="K29" i="35"/>
  <c r="K28" i="35"/>
  <c r="F28" i="35" s="1"/>
  <c r="D10" i="46" s="1"/>
  <c r="K27" i="35"/>
  <c r="K26" i="35"/>
  <c r="K25" i="35"/>
  <c r="F25" i="35" s="1"/>
  <c r="T5" i="46" s="1"/>
  <c r="K24" i="35"/>
  <c r="E24" i="35" s="1"/>
  <c r="K23" i="35"/>
  <c r="F23" i="35" s="1"/>
  <c r="R5" i="46" s="1"/>
  <c r="K22" i="35"/>
  <c r="E22" i="35" s="1"/>
  <c r="Q3" i="46" s="1"/>
  <c r="K21" i="35"/>
  <c r="F21" i="35" s="1"/>
  <c r="P5" i="46" s="1"/>
  <c r="K20" i="35"/>
  <c r="B21" i="35" s="1"/>
  <c r="O1" i="46" s="1"/>
  <c r="J34" i="46" s="1"/>
  <c r="K19" i="35"/>
  <c r="K18" i="35"/>
  <c r="E18" i="35" s="1"/>
  <c r="K17" i="35"/>
  <c r="K16" i="35"/>
  <c r="F16" i="35" s="1"/>
  <c r="L5" i="46" s="1"/>
  <c r="K15" i="35"/>
  <c r="K14" i="35"/>
  <c r="F14" i="35" s="1"/>
  <c r="J5" i="46" s="1"/>
  <c r="K13" i="35"/>
  <c r="B14" i="35" s="1"/>
  <c r="I1" i="46" s="1"/>
  <c r="E34" i="46" s="1"/>
  <c r="K12" i="35"/>
  <c r="K11" i="35"/>
  <c r="F11" i="35" s="1"/>
  <c r="H5" i="46" s="1"/>
  <c r="K10" i="35"/>
  <c r="F10" i="35" s="1"/>
  <c r="G5" i="46" s="1"/>
  <c r="K9" i="35"/>
  <c r="F9" i="35" s="1"/>
  <c r="F5" i="46" s="1"/>
  <c r="K8" i="35"/>
  <c r="F8" i="35" s="1"/>
  <c r="E5" i="46" s="1"/>
  <c r="K7" i="35"/>
  <c r="F7" i="35" s="1"/>
  <c r="D5" i="46" s="1"/>
  <c r="K6" i="35"/>
  <c r="B7" i="35" s="1"/>
  <c r="C1" i="46" s="1"/>
  <c r="B34" i="46" s="1"/>
  <c r="D2" i="35"/>
  <c r="C2" i="22"/>
  <c r="C2" i="18"/>
  <c r="H5" i="33"/>
  <c r="D1" i="34"/>
  <c r="D1" i="33"/>
  <c r="H45" i="33"/>
  <c r="H46" i="33"/>
  <c r="H47" i="33"/>
  <c r="H48" i="33"/>
  <c r="H49" i="33"/>
  <c r="H50" i="33"/>
  <c r="H51" i="33"/>
  <c r="H52" i="33"/>
  <c r="H53" i="33"/>
  <c r="H54" i="33"/>
  <c r="H55" i="33"/>
  <c r="H44" i="33"/>
  <c r="H32" i="33"/>
  <c r="H33" i="33"/>
  <c r="H34" i="33"/>
  <c r="H35" i="33"/>
  <c r="H36" i="33"/>
  <c r="H37" i="33"/>
  <c r="H38" i="33"/>
  <c r="H39" i="33"/>
  <c r="H40" i="33"/>
  <c r="H41" i="33"/>
  <c r="H42" i="33"/>
  <c r="H31" i="33"/>
  <c r="H19" i="33"/>
  <c r="H20" i="33"/>
  <c r="H21" i="33"/>
  <c r="H22" i="33"/>
  <c r="H23" i="33"/>
  <c r="H24" i="33"/>
  <c r="H25" i="33"/>
  <c r="H26" i="33"/>
  <c r="H27" i="33"/>
  <c r="H28" i="33"/>
  <c r="H29" i="33"/>
  <c r="H18" i="33"/>
  <c r="H6" i="33"/>
  <c r="H7" i="33"/>
  <c r="H8" i="33"/>
  <c r="H9" i="33"/>
  <c r="H10" i="33"/>
  <c r="H11" i="33"/>
  <c r="H12" i="33"/>
  <c r="H13" i="33"/>
  <c r="H14" i="33"/>
  <c r="H15" i="33"/>
  <c r="H1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6" i="33"/>
  <c r="C15" i="33"/>
  <c r="C14" i="33"/>
  <c r="C13" i="33"/>
  <c r="C12" i="33"/>
  <c r="C11" i="33"/>
  <c r="C10" i="33"/>
  <c r="C9" i="33"/>
  <c r="C8" i="33"/>
  <c r="C7" i="33"/>
  <c r="C6" i="33"/>
  <c r="C5" i="33"/>
  <c r="L39" i="3"/>
  <c r="L40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7" i="3"/>
  <c r="I36" i="3"/>
  <c r="I37" i="3"/>
  <c r="I38" i="3"/>
  <c r="I39" i="3"/>
  <c r="I40" i="3"/>
  <c r="I28" i="3"/>
  <c r="I29" i="3"/>
  <c r="I30" i="3"/>
  <c r="I31" i="3"/>
  <c r="I32" i="3"/>
  <c r="I33" i="3"/>
  <c r="I34" i="3"/>
  <c r="I35" i="3"/>
  <c r="I7" i="3"/>
  <c r="I8" i="3"/>
  <c r="I13" i="3"/>
  <c r="I27" i="3"/>
  <c r="I9" i="3"/>
  <c r="I10" i="3"/>
  <c r="I11" i="3"/>
  <c r="I12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D49" i="31" l="1"/>
  <c r="C28" i="24"/>
  <c r="B44" i="24" s="1"/>
  <c r="G55" i="34"/>
  <c r="G39" i="34"/>
  <c r="G26" i="34"/>
  <c r="G13" i="34"/>
  <c r="G41" i="34"/>
  <c r="G25" i="34"/>
  <c r="G53" i="34"/>
  <c r="G37" i="34"/>
  <c r="G24" i="34"/>
  <c r="G11" i="34"/>
  <c r="G15" i="34"/>
  <c r="G52" i="34"/>
  <c r="G36" i="34"/>
  <c r="G23" i="34"/>
  <c r="G10" i="34"/>
  <c r="G28" i="34"/>
  <c r="G51" i="34"/>
  <c r="G35" i="34"/>
  <c r="G22" i="34"/>
  <c r="G9" i="34"/>
  <c r="G50" i="34"/>
  <c r="G34" i="34"/>
  <c r="G21" i="34"/>
  <c r="G8" i="34"/>
  <c r="G49" i="34"/>
  <c r="G33" i="34"/>
  <c r="G20" i="34"/>
  <c r="G7" i="34"/>
  <c r="G45" i="34"/>
  <c r="G48" i="34"/>
  <c r="G32" i="34"/>
  <c r="G19" i="34"/>
  <c r="G6" i="34"/>
  <c r="G47" i="34"/>
  <c r="G31" i="34"/>
  <c r="G18" i="34"/>
  <c r="G5" i="34"/>
  <c r="G46" i="34"/>
  <c r="G42" i="34"/>
  <c r="G29" i="34"/>
  <c r="G16" i="34"/>
  <c r="G44" i="34"/>
  <c r="G40" i="34"/>
  <c r="G27" i="34"/>
  <c r="G14" i="34"/>
  <c r="G54" i="34"/>
  <c r="G38" i="34"/>
  <c r="G12" i="34"/>
  <c r="H106" i="31"/>
  <c r="H76" i="36"/>
  <c r="H10" i="37"/>
  <c r="H56" i="37"/>
  <c r="H105" i="37"/>
  <c r="H43" i="31"/>
  <c r="H79" i="31"/>
  <c r="H21" i="36"/>
  <c r="H51" i="36"/>
  <c r="H77" i="36"/>
  <c r="H100" i="36"/>
  <c r="H115" i="36"/>
  <c r="H11" i="37"/>
  <c r="H16" i="37"/>
  <c r="H34" i="37"/>
  <c r="H81" i="37"/>
  <c r="H14" i="38"/>
  <c r="H38" i="38"/>
  <c r="H44" i="38"/>
  <c r="H58" i="38"/>
  <c r="H91" i="38"/>
  <c r="H105" i="38"/>
  <c r="H49" i="53"/>
  <c r="H43" i="36"/>
  <c r="H24" i="38"/>
  <c r="H15" i="31"/>
  <c r="H39" i="31"/>
  <c r="H56" i="31"/>
  <c r="H70" i="31"/>
  <c r="H76" i="31"/>
  <c r="H31" i="36"/>
  <c r="H52" i="36"/>
  <c r="H59" i="36"/>
  <c r="H79" i="36"/>
  <c r="H101" i="36"/>
  <c r="H107" i="36"/>
  <c r="H122" i="36"/>
  <c r="H18" i="37"/>
  <c r="H36" i="37"/>
  <c r="H69" i="37"/>
  <c r="H91" i="37"/>
  <c r="H45" i="38"/>
  <c r="H53" i="38"/>
  <c r="H99" i="38"/>
  <c r="H106" i="38"/>
  <c r="H112" i="38"/>
  <c r="H91" i="31"/>
  <c r="H52" i="37"/>
  <c r="H8" i="38"/>
  <c r="H6" i="54"/>
  <c r="H28" i="31"/>
  <c r="H80" i="31"/>
  <c r="H98" i="31"/>
  <c r="H104" i="31"/>
  <c r="H108" i="31"/>
  <c r="H14" i="36"/>
  <c r="H94" i="36"/>
  <c r="H37" i="37"/>
  <c r="H43" i="37"/>
  <c r="H101" i="37"/>
  <c r="H10" i="38"/>
  <c r="H31" i="38"/>
  <c r="H39" i="38"/>
  <c r="H77" i="38"/>
  <c r="H13" i="51"/>
  <c r="H27" i="37"/>
  <c r="H85" i="35"/>
  <c r="H11" i="31"/>
  <c r="H49" i="31"/>
  <c r="H92" i="31"/>
  <c r="H119" i="31"/>
  <c r="H8" i="36"/>
  <c r="H15" i="36"/>
  <c r="H46" i="36"/>
  <c r="H71" i="36"/>
  <c r="H116" i="36"/>
  <c r="H92" i="37"/>
  <c r="H102" i="37"/>
  <c r="H109" i="37"/>
  <c r="H119" i="37"/>
  <c r="H16" i="38"/>
  <c r="H46" i="38"/>
  <c r="H69" i="38"/>
  <c r="H87" i="38"/>
  <c r="H107" i="38"/>
  <c r="H21" i="51"/>
  <c r="H53" i="52"/>
  <c r="H84" i="31"/>
  <c r="H86" i="36"/>
  <c r="H100" i="37"/>
  <c r="H32" i="52"/>
  <c r="H16" i="31"/>
  <c r="H57" i="31"/>
  <c r="H87" i="31"/>
  <c r="H120" i="31"/>
  <c r="H41" i="36"/>
  <c r="H102" i="36"/>
  <c r="H6" i="37"/>
  <c r="H13" i="37"/>
  <c r="H28" i="37"/>
  <c r="H38" i="37"/>
  <c r="H44" i="37"/>
  <c r="H71" i="37"/>
  <c r="H77" i="37"/>
  <c r="H120" i="37"/>
  <c r="H99" i="52"/>
  <c r="H59" i="55"/>
  <c r="H29" i="31"/>
  <c r="H35" i="31"/>
  <c r="H41" i="31"/>
  <c r="H45" i="31"/>
  <c r="H109" i="31"/>
  <c r="H115" i="31"/>
  <c r="H81" i="36"/>
  <c r="H97" i="36"/>
  <c r="H55" i="37"/>
  <c r="H78" i="37"/>
  <c r="H34" i="38"/>
  <c r="H41" i="38"/>
  <c r="H71" i="38"/>
  <c r="H88" i="38"/>
  <c r="H10" i="31"/>
  <c r="H18" i="35"/>
  <c r="H51" i="35"/>
  <c r="H73" i="31"/>
  <c r="H77" i="31"/>
  <c r="H88" i="31"/>
  <c r="H9" i="36"/>
  <c r="H18" i="36"/>
  <c r="H55" i="36"/>
  <c r="H8" i="37"/>
  <c r="H14" i="37"/>
  <c r="H46" i="37"/>
  <c r="H72" i="37"/>
  <c r="H87" i="37"/>
  <c r="H18" i="38"/>
  <c r="H35" i="38"/>
  <c r="H48" i="38"/>
  <c r="H31" i="53"/>
  <c r="H78" i="36"/>
  <c r="H30" i="38"/>
  <c r="H15" i="55"/>
  <c r="H52" i="35"/>
  <c r="H7" i="31"/>
  <c r="H13" i="31"/>
  <c r="H17" i="31"/>
  <c r="H101" i="31"/>
  <c r="H105" i="31"/>
  <c r="H111" i="31"/>
  <c r="H116" i="31"/>
  <c r="H27" i="36"/>
  <c r="H36" i="36"/>
  <c r="H118" i="36"/>
  <c r="H9" i="37"/>
  <c r="H24" i="37"/>
  <c r="H28" i="38"/>
  <c r="H73" i="38"/>
  <c r="H94" i="38"/>
  <c r="H109" i="38"/>
  <c r="H92" i="52"/>
  <c r="H58" i="54"/>
  <c r="H6" i="36"/>
  <c r="H42" i="37"/>
  <c r="H98" i="38"/>
  <c r="H88" i="52"/>
  <c r="H32" i="35"/>
  <c r="H30" i="31"/>
  <c r="H53" i="31"/>
  <c r="H78" i="31"/>
  <c r="H42" i="36"/>
  <c r="H105" i="36"/>
  <c r="H112" i="36"/>
  <c r="H15" i="37"/>
  <c r="H73" i="37"/>
  <c r="H88" i="37"/>
  <c r="H97" i="37"/>
  <c r="H49" i="38"/>
  <c r="H56" i="38"/>
  <c r="H80" i="38"/>
  <c r="H88" i="54"/>
  <c r="H24" i="35"/>
  <c r="H25" i="31"/>
  <c r="H49" i="36"/>
  <c r="H119" i="36"/>
  <c r="H74" i="37"/>
  <c r="H36" i="38"/>
  <c r="H57" i="38"/>
  <c r="H81" i="38"/>
  <c r="H119" i="38"/>
  <c r="H37" i="54"/>
  <c r="H60" i="31"/>
  <c r="H74" i="31"/>
  <c r="H10" i="36"/>
  <c r="H25" i="37"/>
  <c r="H21" i="38"/>
  <c r="H38" i="31"/>
  <c r="H59" i="31"/>
  <c r="H95" i="31"/>
  <c r="H102" i="31"/>
  <c r="H118" i="31"/>
  <c r="H11" i="36"/>
  <c r="H29" i="36"/>
  <c r="H38" i="36"/>
  <c r="H84" i="36"/>
  <c r="H90" i="37"/>
  <c r="H99" i="37"/>
  <c r="H106" i="37"/>
  <c r="H115" i="37"/>
  <c r="H120" i="38"/>
  <c r="H22" i="52"/>
  <c r="H50" i="52"/>
  <c r="H121" i="52"/>
  <c r="I3" i="24"/>
  <c r="P24" i="49"/>
  <c r="C19" i="24"/>
  <c r="T24" i="24"/>
  <c r="E24" i="49"/>
  <c r="P19" i="24"/>
  <c r="F13" i="51"/>
  <c r="I5" i="56" s="1"/>
  <c r="F70" i="51"/>
  <c r="P16" i="56" s="1"/>
  <c r="G104" i="51"/>
  <c r="E119" i="51"/>
  <c r="E71" i="51"/>
  <c r="H71" i="51" s="1"/>
  <c r="E120" i="51"/>
  <c r="H120" i="51" s="1"/>
  <c r="E52" i="51"/>
  <c r="G13" i="56" s="1"/>
  <c r="E80" i="51"/>
  <c r="G19" i="56" s="1"/>
  <c r="E86" i="51"/>
  <c r="L19" i="56" s="1"/>
  <c r="F99" i="51"/>
  <c r="E26" i="56" s="1"/>
  <c r="E27" i="51"/>
  <c r="C8" i="56" s="1"/>
  <c r="F21" i="51"/>
  <c r="P5" i="56" s="1"/>
  <c r="F27" i="51"/>
  <c r="C10" i="56" s="1"/>
  <c r="G34" i="51"/>
  <c r="E41" i="51"/>
  <c r="H41" i="51" s="1"/>
  <c r="F108" i="51"/>
  <c r="M26" i="56" s="1"/>
  <c r="E121" i="51"/>
  <c r="H121" i="51" s="1"/>
  <c r="E28" i="51"/>
  <c r="H28" i="51" s="1"/>
  <c r="E23" i="51"/>
  <c r="H23" i="51" s="1"/>
  <c r="H60" i="51"/>
  <c r="E123" i="51"/>
  <c r="H123" i="51" s="1"/>
  <c r="E16" i="51"/>
  <c r="H16" i="51" s="1"/>
  <c r="E24" i="51"/>
  <c r="S3" i="56" s="1"/>
  <c r="E42" i="51"/>
  <c r="P8" i="56" s="1"/>
  <c r="B49" i="51"/>
  <c r="C11" i="56" s="1"/>
  <c r="B38" i="56" s="1"/>
  <c r="F55" i="51"/>
  <c r="I16" i="56" s="1"/>
  <c r="B70" i="51"/>
  <c r="D69" i="51" s="1"/>
  <c r="B84" i="51"/>
  <c r="D87" i="51" s="1"/>
  <c r="F118" i="51"/>
  <c r="C32" i="56" s="1"/>
  <c r="F104" i="51"/>
  <c r="I26" i="56" s="1"/>
  <c r="F7" i="52"/>
  <c r="D5" i="57" s="1"/>
  <c r="F24" i="52"/>
  <c r="S5" i="57" s="1"/>
  <c r="B35" i="52"/>
  <c r="D37" i="52" s="1"/>
  <c r="E58" i="52"/>
  <c r="H58" i="52" s="1"/>
  <c r="F80" i="52"/>
  <c r="G21" i="57" s="1"/>
  <c r="F92" i="52"/>
  <c r="Q21" i="57" s="1"/>
  <c r="E111" i="52"/>
  <c r="H111" i="52" s="1"/>
  <c r="E118" i="52"/>
  <c r="C30" i="57" s="1"/>
  <c r="G20" i="52"/>
  <c r="E41" i="52"/>
  <c r="O8" i="57" s="1"/>
  <c r="E59" i="52"/>
  <c r="M13" i="57" s="1"/>
  <c r="G118" i="52"/>
  <c r="E15" i="52"/>
  <c r="H15" i="52" s="1"/>
  <c r="B21" i="52"/>
  <c r="D20" i="52" s="1"/>
  <c r="E36" i="52"/>
  <c r="K8" i="57" s="1"/>
  <c r="B42" i="52"/>
  <c r="O6" i="57" s="1"/>
  <c r="J36" i="57" s="1"/>
  <c r="E83" i="52"/>
  <c r="I19" i="57" s="1"/>
  <c r="E106" i="52"/>
  <c r="K24" i="57" s="1"/>
  <c r="E21" i="52"/>
  <c r="P3" i="57" s="1"/>
  <c r="F31" i="52"/>
  <c r="G10" i="57" s="1"/>
  <c r="F42" i="52"/>
  <c r="P10" i="57" s="1"/>
  <c r="G48" i="52"/>
  <c r="G83" i="52"/>
  <c r="F94" i="52"/>
  <c r="S21" i="57" s="1"/>
  <c r="F101" i="52"/>
  <c r="G26" i="57" s="1"/>
  <c r="E114" i="52"/>
  <c r="H114" i="52" s="1"/>
  <c r="F119" i="52"/>
  <c r="D32" i="57" s="1"/>
  <c r="F22" i="52"/>
  <c r="Q5" i="57" s="1"/>
  <c r="G27" i="52"/>
  <c r="F32" i="52"/>
  <c r="H10" i="57" s="1"/>
  <c r="E37" i="52"/>
  <c r="L8" i="57" s="1"/>
  <c r="F43" i="52"/>
  <c r="Q10" i="57" s="1"/>
  <c r="F56" i="52"/>
  <c r="J16" i="57" s="1"/>
  <c r="B84" i="52"/>
  <c r="D83" i="52" s="1"/>
  <c r="E95" i="52"/>
  <c r="H95" i="52" s="1"/>
  <c r="E115" i="52"/>
  <c r="S24" i="57" s="1"/>
  <c r="E120" i="52"/>
  <c r="E30" i="57" s="1"/>
  <c r="F108" i="52"/>
  <c r="M26" i="57" s="1"/>
  <c r="G6" i="52"/>
  <c r="F23" i="52"/>
  <c r="R5" i="57" s="1"/>
  <c r="E28" i="52"/>
  <c r="H28" i="52" s="1"/>
  <c r="E44" i="52"/>
  <c r="H44" i="52" s="1"/>
  <c r="E51" i="52"/>
  <c r="F13" i="57" s="1"/>
  <c r="E57" i="52"/>
  <c r="H57" i="52" s="1"/>
  <c r="E73" i="52"/>
  <c r="H73" i="52" s="1"/>
  <c r="E18" i="52"/>
  <c r="N3" i="57" s="1"/>
  <c r="E34" i="52"/>
  <c r="H34" i="52" s="1"/>
  <c r="E79" i="52"/>
  <c r="H79" i="52" s="1"/>
  <c r="E97" i="52"/>
  <c r="C24" i="57" s="1"/>
  <c r="F121" i="52"/>
  <c r="F32" i="57" s="1"/>
  <c r="G27" i="53"/>
  <c r="F38" i="53"/>
  <c r="M10" i="58" s="1"/>
  <c r="F45" i="53"/>
  <c r="S10" i="58" s="1"/>
  <c r="F70" i="53"/>
  <c r="P16" i="58" s="1"/>
  <c r="F83" i="53"/>
  <c r="I21" i="58" s="1"/>
  <c r="F100" i="53"/>
  <c r="F26" i="58" s="1"/>
  <c r="F106" i="53"/>
  <c r="K26" i="58" s="1"/>
  <c r="G111" i="53"/>
  <c r="F116" i="53"/>
  <c r="T26" i="58" s="1"/>
  <c r="G34" i="53"/>
  <c r="E102" i="53"/>
  <c r="H102" i="53" s="1"/>
  <c r="E23" i="53"/>
  <c r="R3" i="58" s="1"/>
  <c r="E59" i="53"/>
  <c r="M13" i="58" s="1"/>
  <c r="F119" i="53"/>
  <c r="D32" i="58" s="1"/>
  <c r="B112" i="53"/>
  <c r="O22" i="58" s="1"/>
  <c r="J42" i="58" s="1"/>
  <c r="E17" i="53"/>
  <c r="H17" i="53" s="1"/>
  <c r="E48" i="53"/>
  <c r="H48" i="53" s="1"/>
  <c r="E108" i="53"/>
  <c r="H108" i="53" s="1"/>
  <c r="E120" i="53"/>
  <c r="H120" i="53" s="1"/>
  <c r="B28" i="53"/>
  <c r="D31" i="53" s="1"/>
  <c r="F6" i="53"/>
  <c r="C5" i="58" s="1"/>
  <c r="F24" i="53"/>
  <c r="S5" i="58" s="1"/>
  <c r="F43" i="53"/>
  <c r="Q10" i="58" s="1"/>
  <c r="G48" i="53"/>
  <c r="E53" i="53"/>
  <c r="H13" i="58" s="1"/>
  <c r="E60" i="53"/>
  <c r="E74" i="53"/>
  <c r="H74" i="53" s="1"/>
  <c r="E93" i="53"/>
  <c r="H93" i="53" s="1"/>
  <c r="E98" i="53"/>
  <c r="D24" i="58" s="1"/>
  <c r="G104" i="53"/>
  <c r="F109" i="53"/>
  <c r="N26" i="58" s="1"/>
  <c r="E114" i="53"/>
  <c r="H114" i="53" s="1"/>
  <c r="F81" i="53"/>
  <c r="H21" i="58" s="1"/>
  <c r="F99" i="53"/>
  <c r="E26" i="58" s="1"/>
  <c r="E111" i="53"/>
  <c r="O24" i="58" s="1"/>
  <c r="E115" i="53"/>
  <c r="H115" i="53" s="1"/>
  <c r="E122" i="53"/>
  <c r="H122" i="53" s="1"/>
  <c r="E27" i="53"/>
  <c r="H27" i="53" s="1"/>
  <c r="E83" i="53"/>
  <c r="H83" i="53" s="1"/>
  <c r="F18" i="54"/>
  <c r="N5" i="59" s="1"/>
  <c r="F58" i="54"/>
  <c r="L16" i="59" s="1"/>
  <c r="E76" i="54"/>
  <c r="H76" i="54" s="1"/>
  <c r="F6" i="54"/>
  <c r="C5" i="59" s="1"/>
  <c r="E28" i="54"/>
  <c r="H28" i="54" s="1"/>
  <c r="B35" i="54"/>
  <c r="I6" i="59" s="1"/>
  <c r="E36" i="59" s="1"/>
  <c r="B98" i="54"/>
  <c r="C22" i="59" s="1"/>
  <c r="B42" i="59" s="1"/>
  <c r="B7" i="54"/>
  <c r="C1" i="59" s="1"/>
  <c r="B34" i="59" s="1"/>
  <c r="E56" i="54"/>
  <c r="J13" i="59" s="1"/>
  <c r="E111" i="54"/>
  <c r="O24" i="59" s="1"/>
  <c r="E31" i="54"/>
  <c r="H31" i="54" s="1"/>
  <c r="F37" i="54"/>
  <c r="L10" i="59" s="1"/>
  <c r="E93" i="54"/>
  <c r="R19" i="59" s="1"/>
  <c r="F111" i="54"/>
  <c r="O26" i="59" s="1"/>
  <c r="F48" i="54"/>
  <c r="C16" i="59" s="1"/>
  <c r="G111" i="54"/>
  <c r="E10" i="54"/>
  <c r="H10" i="54" s="1"/>
  <c r="G48" i="54"/>
  <c r="E85" i="54"/>
  <c r="K19" i="59" s="1"/>
  <c r="E94" i="54"/>
  <c r="H94" i="54" s="1"/>
  <c r="F72" i="54"/>
  <c r="R16" i="59" s="1"/>
  <c r="E79" i="54"/>
  <c r="H79" i="54" s="1"/>
  <c r="F11" i="54"/>
  <c r="H5" i="59" s="1"/>
  <c r="F23" i="54"/>
  <c r="R5" i="59" s="1"/>
  <c r="E38" i="54"/>
  <c r="H38" i="54" s="1"/>
  <c r="E53" i="54"/>
  <c r="H53" i="54" s="1"/>
  <c r="E69" i="54"/>
  <c r="H69" i="54" s="1"/>
  <c r="E81" i="54"/>
  <c r="H81" i="54" s="1"/>
  <c r="E99" i="54"/>
  <c r="E24" i="59" s="1"/>
  <c r="E106" i="54"/>
  <c r="K24" i="59" s="1"/>
  <c r="E112" i="54"/>
  <c r="H112" i="54" s="1"/>
  <c r="E121" i="54"/>
  <c r="F30" i="59" s="1"/>
  <c r="F69" i="54"/>
  <c r="O16" i="59" s="1"/>
  <c r="E122" i="54"/>
  <c r="H122" i="54" s="1"/>
  <c r="E97" i="54"/>
  <c r="H97" i="54" s="1"/>
  <c r="E109" i="54"/>
  <c r="H109" i="54" s="1"/>
  <c r="B42" i="54"/>
  <c r="D41" i="54" s="1"/>
  <c r="B77" i="54"/>
  <c r="D80" i="54" s="1"/>
  <c r="E84" i="54"/>
  <c r="J19" i="59" s="1"/>
  <c r="F97" i="54"/>
  <c r="C26" i="59" s="1"/>
  <c r="E8" i="54"/>
  <c r="E3" i="59" s="1"/>
  <c r="E21" i="54"/>
  <c r="H21" i="54" s="1"/>
  <c r="E32" i="54"/>
  <c r="H32" i="54" s="1"/>
  <c r="E36" i="54"/>
  <c r="K8" i="59" s="1"/>
  <c r="E49" i="54"/>
  <c r="H49" i="54" s="1"/>
  <c r="E71" i="54"/>
  <c r="Q13" i="59" s="1"/>
  <c r="E101" i="54"/>
  <c r="G24" i="59" s="1"/>
  <c r="E123" i="54"/>
  <c r="H30" i="59" s="1"/>
  <c r="F43" i="54"/>
  <c r="Q10" i="59" s="1"/>
  <c r="E78" i="54"/>
  <c r="H78" i="54" s="1"/>
  <c r="F10" i="55"/>
  <c r="G5" i="60" s="1"/>
  <c r="F28" i="55"/>
  <c r="D10" i="60" s="1"/>
  <c r="F60" i="55"/>
  <c r="N16" i="60" s="1"/>
  <c r="E76" i="55"/>
  <c r="C19" i="60" s="1"/>
  <c r="F55" i="55"/>
  <c r="I16" i="60" s="1"/>
  <c r="F93" i="55"/>
  <c r="R21" i="60" s="1"/>
  <c r="F118" i="55"/>
  <c r="C32" i="60" s="1"/>
  <c r="E72" i="55"/>
  <c r="R13" i="60" s="1"/>
  <c r="E108" i="55"/>
  <c r="M24" i="60" s="1"/>
  <c r="E41" i="55"/>
  <c r="O8" i="60" s="1"/>
  <c r="E87" i="55"/>
  <c r="H87" i="55" s="1"/>
  <c r="F102" i="55"/>
  <c r="H26" i="60" s="1"/>
  <c r="E120" i="55"/>
  <c r="E30" i="60" s="1"/>
  <c r="E79" i="55"/>
  <c r="H79" i="55" s="1"/>
  <c r="F88" i="55"/>
  <c r="N21" i="60" s="1"/>
  <c r="E9" i="55"/>
  <c r="F3" i="60" s="1"/>
  <c r="E16" i="55"/>
  <c r="L3" i="60" s="1"/>
  <c r="F58" i="55"/>
  <c r="L16" i="60" s="1"/>
  <c r="E74" i="55"/>
  <c r="H74" i="55" s="1"/>
  <c r="F104" i="55"/>
  <c r="I26" i="60" s="1"/>
  <c r="E43" i="55"/>
  <c r="Q8" i="60" s="1"/>
  <c r="F13" i="55"/>
  <c r="I5" i="60" s="1"/>
  <c r="E53" i="55"/>
  <c r="H13" i="60" s="1"/>
  <c r="G13" i="55"/>
  <c r="E35" i="55"/>
  <c r="J8" i="60" s="1"/>
  <c r="F78" i="55"/>
  <c r="E21" i="60" s="1"/>
  <c r="F85" i="55"/>
  <c r="K21" i="60" s="1"/>
  <c r="F106" i="55"/>
  <c r="K26" i="60" s="1"/>
  <c r="B112" i="55"/>
  <c r="D112" i="55" s="1"/>
  <c r="E37" i="55"/>
  <c r="L8" i="60" s="1"/>
  <c r="E92" i="55"/>
  <c r="H92" i="55" s="1"/>
  <c r="B14" i="55"/>
  <c r="D18" i="55" s="1"/>
  <c r="E22" i="55"/>
  <c r="Q3" i="60" s="1"/>
  <c r="F48" i="55"/>
  <c r="C16" i="60" s="1"/>
  <c r="E70" i="55"/>
  <c r="H70" i="55" s="1"/>
  <c r="E104" i="55"/>
  <c r="H104" i="55" s="1"/>
  <c r="E115" i="55"/>
  <c r="H115" i="55" s="1"/>
  <c r="F121" i="55"/>
  <c r="F32" i="60" s="1"/>
  <c r="E80" i="55"/>
  <c r="H80" i="55" s="1"/>
  <c r="G104" i="55"/>
  <c r="E116" i="55"/>
  <c r="T24" i="60" s="1"/>
  <c r="F122" i="55"/>
  <c r="G32" i="60" s="1"/>
  <c r="E57" i="55"/>
  <c r="H57" i="55" s="1"/>
  <c r="E123" i="55"/>
  <c r="H123" i="55" s="1"/>
  <c r="E25" i="55"/>
  <c r="T3" i="60" s="1"/>
  <c r="E39" i="55"/>
  <c r="N8" i="60" s="1"/>
  <c r="E52" i="55"/>
  <c r="G13" i="60" s="1"/>
  <c r="E90" i="55"/>
  <c r="H90" i="55" s="1"/>
  <c r="E101" i="55"/>
  <c r="H101" i="55" s="1"/>
  <c r="E105" i="55"/>
  <c r="J24" i="60" s="1"/>
  <c r="E111" i="55"/>
  <c r="O24" i="60" s="1"/>
  <c r="E118" i="55"/>
  <c r="C30" i="60" s="1"/>
  <c r="F84" i="55"/>
  <c r="J21" i="60" s="1"/>
  <c r="F95" i="55"/>
  <c r="T21" i="60" s="1"/>
  <c r="F111" i="55"/>
  <c r="O26" i="60" s="1"/>
  <c r="H15" i="51"/>
  <c r="K24" i="24"/>
  <c r="D116" i="54"/>
  <c r="H78" i="53"/>
  <c r="H14" i="51"/>
  <c r="D10" i="53"/>
  <c r="I17" i="24"/>
  <c r="E40" i="24" s="1"/>
  <c r="F19" i="47"/>
  <c r="N24" i="49"/>
  <c r="H27" i="54"/>
  <c r="I24" i="24"/>
  <c r="T13" i="48"/>
  <c r="H108" i="52"/>
  <c r="T8" i="49"/>
  <c r="H20" i="52"/>
  <c r="E24" i="57"/>
  <c r="S13" i="49"/>
  <c r="H78" i="51"/>
  <c r="D34" i="53"/>
  <c r="H119" i="51"/>
  <c r="H17" i="52"/>
  <c r="H77" i="52"/>
  <c r="H44" i="53"/>
  <c r="H22" i="54"/>
  <c r="H88" i="55"/>
  <c r="H101" i="52"/>
  <c r="H22" i="53"/>
  <c r="H104" i="53"/>
  <c r="H73" i="51"/>
  <c r="H93" i="51"/>
  <c r="H99" i="51"/>
  <c r="H24" i="52"/>
  <c r="H52" i="52"/>
  <c r="H84" i="52"/>
  <c r="H6" i="53"/>
  <c r="H10" i="53"/>
  <c r="H87" i="53"/>
  <c r="H23" i="54"/>
  <c r="H7" i="51"/>
  <c r="H119" i="52"/>
  <c r="H109" i="53"/>
  <c r="H108" i="51"/>
  <c r="H114" i="51"/>
  <c r="H35" i="52"/>
  <c r="H74" i="52"/>
  <c r="H29" i="53"/>
  <c r="H70" i="53"/>
  <c r="H77" i="53"/>
  <c r="H30" i="54"/>
  <c r="H46" i="54"/>
  <c r="H81" i="52"/>
  <c r="H51" i="53"/>
  <c r="H15" i="54"/>
  <c r="H43" i="51"/>
  <c r="H70" i="52"/>
  <c r="H24" i="53"/>
  <c r="H30" i="53"/>
  <c r="H35" i="53"/>
  <c r="H100" i="54"/>
  <c r="H10" i="51"/>
  <c r="H97" i="51"/>
  <c r="H42" i="52"/>
  <c r="H14" i="53"/>
  <c r="H21" i="53"/>
  <c r="H84" i="53"/>
  <c r="H114" i="54"/>
  <c r="H24" i="55"/>
  <c r="H73" i="55"/>
  <c r="H78" i="55"/>
  <c r="H84" i="55"/>
  <c r="H95" i="55"/>
  <c r="H106" i="55"/>
  <c r="H91" i="55"/>
  <c r="H28" i="55"/>
  <c r="K8" i="49"/>
  <c r="H104" i="51"/>
  <c r="D13" i="49"/>
  <c r="K24" i="49"/>
  <c r="H106" i="51"/>
  <c r="H112" i="51"/>
  <c r="H104" i="52"/>
  <c r="D9" i="55"/>
  <c r="H44" i="55"/>
  <c r="Q19" i="48"/>
  <c r="L13" i="49"/>
  <c r="H9" i="51"/>
  <c r="H49" i="52"/>
  <c r="H90" i="53"/>
  <c r="D97" i="53"/>
  <c r="D99" i="53"/>
  <c r="S8" i="24"/>
  <c r="N3" i="48"/>
  <c r="N24" i="48"/>
  <c r="H95" i="51"/>
  <c r="D7" i="53"/>
  <c r="H69" i="53"/>
  <c r="H19" i="49"/>
  <c r="D102" i="51"/>
  <c r="H7" i="54"/>
  <c r="H14" i="54"/>
  <c r="C3" i="47"/>
  <c r="M19" i="49"/>
  <c r="H8" i="52"/>
  <c r="H97" i="53"/>
  <c r="L13" i="59"/>
  <c r="C6" i="47"/>
  <c r="B36" i="47" s="1"/>
  <c r="D8" i="48"/>
  <c r="N3" i="49"/>
  <c r="D8" i="53"/>
  <c r="H58" i="53"/>
  <c r="H81" i="53"/>
  <c r="D30" i="56"/>
  <c r="K8" i="48"/>
  <c r="D102" i="53"/>
  <c r="Q3" i="57"/>
  <c r="D8" i="49"/>
  <c r="H93" i="38"/>
  <c r="R19" i="49"/>
  <c r="E19" i="48"/>
  <c r="H101" i="38"/>
  <c r="G24" i="49"/>
  <c r="H115" i="38"/>
  <c r="S24" i="49"/>
  <c r="N3" i="47"/>
  <c r="K8" i="47"/>
  <c r="E19" i="47"/>
  <c r="O22" i="47"/>
  <c r="J42" i="47" s="1"/>
  <c r="I1" i="48"/>
  <c r="E34" i="48" s="1"/>
  <c r="G13" i="48"/>
  <c r="S13" i="48"/>
  <c r="D19" i="48"/>
  <c r="P19" i="48"/>
  <c r="I22" i="48"/>
  <c r="E42" i="48" s="1"/>
  <c r="S8" i="49"/>
  <c r="K13" i="49"/>
  <c r="D19" i="49"/>
  <c r="H17" i="51"/>
  <c r="H35" i="51"/>
  <c r="J8" i="56"/>
  <c r="H45" i="51"/>
  <c r="S8" i="56"/>
  <c r="H53" i="51"/>
  <c r="H13" i="56"/>
  <c r="H113" i="51"/>
  <c r="Q24" i="56"/>
  <c r="C1" i="57"/>
  <c r="B34" i="57" s="1"/>
  <c r="D9" i="52"/>
  <c r="M19" i="57"/>
  <c r="H87" i="52"/>
  <c r="H88" i="51"/>
  <c r="N19" i="56"/>
  <c r="H11" i="38"/>
  <c r="H3" i="49"/>
  <c r="D59" i="38"/>
  <c r="I11" i="49"/>
  <c r="E38" i="49" s="1"/>
  <c r="H79" i="38"/>
  <c r="F19" i="49"/>
  <c r="P3" i="47"/>
  <c r="M8" i="47"/>
  <c r="S19" i="47"/>
  <c r="P24" i="47"/>
  <c r="C30" i="47"/>
  <c r="C3" i="48"/>
  <c r="L8" i="48"/>
  <c r="I13" i="48"/>
  <c r="C24" i="48"/>
  <c r="I1" i="49"/>
  <c r="E34" i="49" s="1"/>
  <c r="P3" i="49"/>
  <c r="F8" i="49"/>
  <c r="O13" i="49"/>
  <c r="G19" i="49"/>
  <c r="D18" i="51"/>
  <c r="L8" i="56"/>
  <c r="H37" i="51"/>
  <c r="D72" i="51"/>
  <c r="C24" i="47"/>
  <c r="H79" i="53"/>
  <c r="F19" i="58"/>
  <c r="H42" i="38"/>
  <c r="P8" i="49"/>
  <c r="E3" i="47"/>
  <c r="O6" i="47"/>
  <c r="J36" i="47" s="1"/>
  <c r="H19" i="47"/>
  <c r="D30" i="47"/>
  <c r="M8" i="48"/>
  <c r="J13" i="48"/>
  <c r="G8" i="49"/>
  <c r="N24" i="56"/>
  <c r="H109" i="51"/>
  <c r="H56" i="52"/>
  <c r="J13" i="57"/>
  <c r="E8" i="59"/>
  <c r="H29" i="54"/>
  <c r="N19" i="24"/>
  <c r="H20" i="38"/>
  <c r="O3" i="49"/>
  <c r="H29" i="38"/>
  <c r="E8" i="49"/>
  <c r="S3" i="46"/>
  <c r="F3" i="47"/>
  <c r="C8" i="47"/>
  <c r="O8" i="47"/>
  <c r="C11" i="47"/>
  <c r="B38" i="47" s="1"/>
  <c r="F24" i="47"/>
  <c r="E3" i="48"/>
  <c r="O6" i="48"/>
  <c r="J36" i="48" s="1"/>
  <c r="H19" i="48"/>
  <c r="E24" i="48"/>
  <c r="D30" i="48"/>
  <c r="C11" i="49"/>
  <c r="B38" i="49" s="1"/>
  <c r="Q13" i="49"/>
  <c r="I13" i="56"/>
  <c r="H55" i="51"/>
  <c r="O13" i="56"/>
  <c r="H69" i="51"/>
  <c r="H23" i="52"/>
  <c r="R3" i="57"/>
  <c r="H24" i="54"/>
  <c r="S3" i="59"/>
  <c r="H10" i="55"/>
  <c r="G3" i="60"/>
  <c r="R19" i="56"/>
  <c r="I3" i="57"/>
  <c r="H13" i="52"/>
  <c r="H111" i="38"/>
  <c r="O24" i="49"/>
  <c r="K19" i="46"/>
  <c r="G3" i="47"/>
  <c r="P8" i="47"/>
  <c r="M13" i="47"/>
  <c r="J19" i="47"/>
  <c r="G24" i="47"/>
  <c r="S24" i="47"/>
  <c r="F3" i="48"/>
  <c r="C8" i="48"/>
  <c r="F24" i="48"/>
  <c r="E30" i="48"/>
  <c r="E3" i="49"/>
  <c r="S3" i="49"/>
  <c r="I8" i="49"/>
  <c r="C13" i="49"/>
  <c r="D24" i="49"/>
  <c r="H25" i="51"/>
  <c r="H30" i="51"/>
  <c r="F8" i="56"/>
  <c r="H38" i="51"/>
  <c r="M8" i="56"/>
  <c r="H116" i="51"/>
  <c r="H7" i="53"/>
  <c r="D3" i="58"/>
  <c r="I13" i="47"/>
  <c r="H6" i="38"/>
  <c r="C3" i="49"/>
  <c r="H43" i="38"/>
  <c r="Q8" i="49"/>
  <c r="H97" i="38"/>
  <c r="C24" i="49"/>
  <c r="H3" i="47"/>
  <c r="E8" i="47"/>
  <c r="Q8" i="47"/>
  <c r="H24" i="47"/>
  <c r="T24" i="47"/>
  <c r="G30" i="47"/>
  <c r="G3" i="48"/>
  <c r="S3" i="48"/>
  <c r="P8" i="48"/>
  <c r="G24" i="48"/>
  <c r="S24" i="48"/>
  <c r="J8" i="49"/>
  <c r="H91" i="51"/>
  <c r="P19" i="56"/>
  <c r="H98" i="51"/>
  <c r="D24" i="56"/>
  <c r="L19" i="47"/>
  <c r="H3" i="48"/>
  <c r="T3" i="48"/>
  <c r="Q8" i="48"/>
  <c r="O11" i="48"/>
  <c r="J38" i="48" s="1"/>
  <c r="H24" i="48"/>
  <c r="G3" i="49"/>
  <c r="N19" i="49"/>
  <c r="H31" i="51"/>
  <c r="G8" i="56"/>
  <c r="H56" i="51"/>
  <c r="J13" i="56"/>
  <c r="H70" i="51"/>
  <c r="P13" i="56"/>
  <c r="P8" i="58"/>
  <c r="H42" i="53"/>
  <c r="C1" i="56"/>
  <c r="B34" i="56" s="1"/>
  <c r="J19" i="58"/>
  <c r="H84" i="38"/>
  <c r="J19" i="49"/>
  <c r="H8" i="46"/>
  <c r="J3" i="47"/>
  <c r="G8" i="47"/>
  <c r="D13" i="47"/>
  <c r="I17" i="47"/>
  <c r="E40" i="47" s="1"/>
  <c r="J24" i="47"/>
  <c r="I3" i="48"/>
  <c r="R8" i="48"/>
  <c r="O13" i="48"/>
  <c r="C17" i="48"/>
  <c r="B40" i="48" s="1"/>
  <c r="M8" i="49"/>
  <c r="C17" i="49"/>
  <c r="B40" i="49" s="1"/>
  <c r="H25" i="52"/>
  <c r="T3" i="57"/>
  <c r="H79" i="51"/>
  <c r="F19" i="56"/>
  <c r="H122" i="38"/>
  <c r="G30" i="49"/>
  <c r="F13" i="46"/>
  <c r="K3" i="47"/>
  <c r="T8" i="47"/>
  <c r="Q13" i="47"/>
  <c r="O17" i="47"/>
  <c r="J40" i="47" s="1"/>
  <c r="J3" i="48"/>
  <c r="I17" i="48"/>
  <c r="E40" i="48" s="1"/>
  <c r="M19" i="48"/>
  <c r="J24" i="48"/>
  <c r="J3" i="49"/>
  <c r="N8" i="49"/>
  <c r="P19" i="49"/>
  <c r="J24" i="49"/>
  <c r="D30" i="49"/>
  <c r="H44" i="51"/>
  <c r="R8" i="56"/>
  <c r="D118" i="51"/>
  <c r="C28" i="56"/>
  <c r="B44" i="56" s="1"/>
  <c r="H46" i="52"/>
  <c r="T8" i="57"/>
  <c r="H8" i="57"/>
  <c r="H102" i="38"/>
  <c r="H24" i="49"/>
  <c r="H25" i="38"/>
  <c r="T3" i="49"/>
  <c r="H59" i="38"/>
  <c r="M13" i="49"/>
  <c r="G13" i="46"/>
  <c r="F13" i="47"/>
  <c r="C19" i="47"/>
  <c r="C22" i="47"/>
  <c r="B42" i="47" s="1"/>
  <c r="L24" i="47"/>
  <c r="K3" i="48"/>
  <c r="T8" i="48"/>
  <c r="Q13" i="48"/>
  <c r="N19" i="48"/>
  <c r="K24" i="48"/>
  <c r="O8" i="49"/>
  <c r="H13" i="49"/>
  <c r="O17" i="49"/>
  <c r="J40" i="49" s="1"/>
  <c r="E30" i="49"/>
  <c r="D8" i="51"/>
  <c r="D71" i="51"/>
  <c r="H87" i="51"/>
  <c r="L3" i="57"/>
  <c r="H16" i="52"/>
  <c r="K8" i="58"/>
  <c r="H36" i="53"/>
  <c r="H55" i="38"/>
  <c r="I13" i="49"/>
  <c r="N3" i="46"/>
  <c r="G13" i="47"/>
  <c r="D19" i="47"/>
  <c r="L3" i="48"/>
  <c r="I8" i="48"/>
  <c r="R13" i="48"/>
  <c r="O19" i="48"/>
  <c r="L3" i="49"/>
  <c r="O6" i="49"/>
  <c r="J36" i="49" s="1"/>
  <c r="R8" i="49"/>
  <c r="J13" i="49"/>
  <c r="S19" i="49"/>
  <c r="L24" i="49"/>
  <c r="I6" i="56"/>
  <c r="E36" i="56" s="1"/>
  <c r="D39" i="51"/>
  <c r="H101" i="51"/>
  <c r="G24" i="56"/>
  <c r="H43" i="54"/>
  <c r="Q8" i="59"/>
  <c r="H10" i="52"/>
  <c r="H39" i="52"/>
  <c r="D71" i="52"/>
  <c r="H90" i="52"/>
  <c r="H122" i="52"/>
  <c r="G30" i="57"/>
  <c r="H11" i="53"/>
  <c r="H56" i="53"/>
  <c r="J13" i="58"/>
  <c r="H107" i="53"/>
  <c r="L24" i="58"/>
  <c r="D49" i="54"/>
  <c r="D74" i="54"/>
  <c r="D6" i="55"/>
  <c r="D120" i="55"/>
  <c r="R24" i="56"/>
  <c r="N19" i="57"/>
  <c r="P13" i="58"/>
  <c r="C3" i="59"/>
  <c r="R24" i="59"/>
  <c r="H85" i="51"/>
  <c r="K19" i="56"/>
  <c r="H72" i="52"/>
  <c r="R13" i="57"/>
  <c r="H102" i="52"/>
  <c r="D121" i="52"/>
  <c r="C28" i="57"/>
  <c r="B44" i="57" s="1"/>
  <c r="D11" i="55"/>
  <c r="C1" i="60"/>
  <c r="B34" i="60" s="1"/>
  <c r="H93" i="55"/>
  <c r="R19" i="60"/>
  <c r="S3" i="57"/>
  <c r="J8" i="57"/>
  <c r="Q19" i="57"/>
  <c r="G24" i="57"/>
  <c r="I22" i="58"/>
  <c r="E42" i="58" s="1"/>
  <c r="H45" i="52"/>
  <c r="S8" i="57"/>
  <c r="H43" i="53"/>
  <c r="Q8" i="58"/>
  <c r="D72" i="53"/>
  <c r="O11" i="58"/>
  <c r="J38" i="58" s="1"/>
  <c r="H80" i="53"/>
  <c r="G19" i="58"/>
  <c r="H116" i="53"/>
  <c r="T24" i="58"/>
  <c r="H25" i="54"/>
  <c r="T3" i="59"/>
  <c r="D7" i="55"/>
  <c r="Q8" i="56"/>
  <c r="C24" i="56"/>
  <c r="F8" i="58"/>
  <c r="M19" i="58"/>
  <c r="H49" i="51"/>
  <c r="D13" i="56"/>
  <c r="H7" i="52"/>
  <c r="D3" i="57"/>
  <c r="H11" i="52"/>
  <c r="H29" i="52"/>
  <c r="E8" i="57"/>
  <c r="H8" i="53"/>
  <c r="D70" i="53"/>
  <c r="H85" i="53"/>
  <c r="K19" i="58"/>
  <c r="D50" i="54"/>
  <c r="H87" i="54"/>
  <c r="H98" i="54"/>
  <c r="D24" i="59"/>
  <c r="H7" i="55"/>
  <c r="D3" i="60"/>
  <c r="H30" i="55"/>
  <c r="D46" i="55"/>
  <c r="H94" i="55"/>
  <c r="H100" i="55"/>
  <c r="E24" i="56"/>
  <c r="E13" i="57"/>
  <c r="D30" i="57"/>
  <c r="S3" i="58"/>
  <c r="G8" i="58"/>
  <c r="K3" i="59"/>
  <c r="M13" i="60"/>
  <c r="L13" i="57"/>
  <c r="H98" i="52"/>
  <c r="H34" i="53"/>
  <c r="H38" i="53"/>
  <c r="D48" i="53"/>
  <c r="C11" i="58"/>
  <c r="B38" i="58" s="1"/>
  <c r="H52" i="53"/>
  <c r="H99" i="53"/>
  <c r="D109" i="53"/>
  <c r="H112" i="53"/>
  <c r="H35" i="54"/>
  <c r="J8" i="59"/>
  <c r="H115" i="54"/>
  <c r="H58" i="55"/>
  <c r="H121" i="55"/>
  <c r="F30" i="60"/>
  <c r="P3" i="56"/>
  <c r="P8" i="57"/>
  <c r="G13" i="57"/>
  <c r="F30" i="57"/>
  <c r="J8" i="58"/>
  <c r="I24" i="58"/>
  <c r="E19" i="60"/>
  <c r="H16" i="54"/>
  <c r="L3" i="59"/>
  <c r="D51" i="54"/>
  <c r="H13" i="55"/>
  <c r="I3" i="60"/>
  <c r="H38" i="55"/>
  <c r="M8" i="60"/>
  <c r="H13" i="57"/>
  <c r="Q3" i="59"/>
  <c r="F8" i="59"/>
  <c r="N19" i="59"/>
  <c r="K3" i="60"/>
  <c r="S13" i="60"/>
  <c r="D39" i="53"/>
  <c r="D71" i="53"/>
  <c r="H119" i="53"/>
  <c r="D30" i="58"/>
  <c r="H51" i="54"/>
  <c r="F13" i="59"/>
  <c r="D87" i="54"/>
  <c r="I17" i="59"/>
  <c r="E40" i="59" s="1"/>
  <c r="H31" i="55"/>
  <c r="G8" i="60"/>
  <c r="D118" i="55"/>
  <c r="H122" i="55"/>
  <c r="G30" i="60"/>
  <c r="D13" i="58"/>
  <c r="F24" i="59"/>
  <c r="J19" i="60"/>
  <c r="H30" i="52"/>
  <c r="F8" i="57"/>
  <c r="H38" i="52"/>
  <c r="M8" i="57"/>
  <c r="H93" i="52"/>
  <c r="H116" i="52"/>
  <c r="T24" i="57"/>
  <c r="H16" i="53"/>
  <c r="L3" i="58"/>
  <c r="H39" i="53"/>
  <c r="N8" i="58"/>
  <c r="H45" i="53"/>
  <c r="H100" i="53"/>
  <c r="F24" i="58"/>
  <c r="D106" i="53"/>
  <c r="H113" i="53"/>
  <c r="Q24" i="58"/>
  <c r="H17" i="54"/>
  <c r="M3" i="59"/>
  <c r="D84" i="54"/>
  <c r="H105" i="54"/>
  <c r="J24" i="59"/>
  <c r="D115" i="54"/>
  <c r="O22" i="59"/>
  <c r="J42" i="59" s="1"/>
  <c r="H60" i="55"/>
  <c r="N13" i="60"/>
  <c r="H85" i="55"/>
  <c r="K19" i="60"/>
  <c r="G3" i="56"/>
  <c r="D19" i="57"/>
  <c r="R8" i="58"/>
  <c r="L8" i="59"/>
  <c r="C11" i="59"/>
  <c r="B38" i="59" s="1"/>
  <c r="D8" i="60"/>
  <c r="N19" i="60"/>
  <c r="H48" i="52"/>
  <c r="C13" i="57"/>
  <c r="H80" i="52"/>
  <c r="G19" i="57"/>
  <c r="H105" i="52"/>
  <c r="J24" i="57"/>
  <c r="H60" i="53"/>
  <c r="N13" i="58"/>
  <c r="D69" i="53"/>
  <c r="H71" i="53"/>
  <c r="Q13" i="58"/>
  <c r="H88" i="53"/>
  <c r="D100" i="53"/>
  <c r="C22" i="58"/>
  <c r="B42" i="58" s="1"/>
  <c r="D101" i="53"/>
  <c r="H106" i="53"/>
  <c r="K24" i="58"/>
  <c r="H11" i="54"/>
  <c r="D53" i="54"/>
  <c r="H59" i="54"/>
  <c r="M13" i="59"/>
  <c r="D112" i="54"/>
  <c r="H49" i="55"/>
  <c r="H55" i="55"/>
  <c r="I13" i="60"/>
  <c r="H102" i="55"/>
  <c r="H24" i="60"/>
  <c r="M24" i="56"/>
  <c r="P19" i="60"/>
  <c r="H27" i="52"/>
  <c r="C8" i="57"/>
  <c r="H31" i="52"/>
  <c r="G8" i="57"/>
  <c r="H43" i="52"/>
  <c r="Q8" i="57"/>
  <c r="H55" i="52"/>
  <c r="I13" i="57"/>
  <c r="H60" i="52"/>
  <c r="N13" i="57"/>
  <c r="H100" i="52"/>
  <c r="F24" i="57"/>
  <c r="D9" i="53"/>
  <c r="C1" i="58"/>
  <c r="B34" i="58" s="1"/>
  <c r="D11" i="53"/>
  <c r="D36" i="53"/>
  <c r="H94" i="53"/>
  <c r="S19" i="58"/>
  <c r="H72" i="54"/>
  <c r="R13" i="59"/>
  <c r="H56" i="55"/>
  <c r="J13" i="60"/>
  <c r="H112" i="55"/>
  <c r="P24" i="60"/>
  <c r="I3" i="56"/>
  <c r="H19" i="57"/>
  <c r="C3" i="58"/>
  <c r="I17" i="58"/>
  <c r="E40" i="58" s="1"/>
  <c r="S3" i="60"/>
  <c r="H14" i="52"/>
  <c r="J3" i="57"/>
  <c r="H86" i="52"/>
  <c r="L19" i="57"/>
  <c r="H94" i="52"/>
  <c r="S19" i="57"/>
  <c r="H46" i="53"/>
  <c r="T8" i="58"/>
  <c r="H50" i="53"/>
  <c r="E13" i="58"/>
  <c r="H72" i="53"/>
  <c r="R13" i="58"/>
  <c r="H18" i="54"/>
  <c r="N3" i="59"/>
  <c r="H34" i="54"/>
  <c r="I8" i="59"/>
  <c r="H42" i="54"/>
  <c r="P8" i="59"/>
  <c r="H21" i="55"/>
  <c r="P3" i="60"/>
  <c r="H98" i="55"/>
  <c r="D24" i="60"/>
  <c r="H107" i="55"/>
  <c r="L24" i="60"/>
  <c r="M3" i="57"/>
  <c r="T13" i="57"/>
  <c r="J19" i="57"/>
  <c r="G3" i="58"/>
  <c r="T19" i="60"/>
  <c r="K24" i="60"/>
  <c r="D37" i="51"/>
  <c r="D35" i="51"/>
  <c r="D11" i="51"/>
  <c r="D7" i="52"/>
  <c r="D6" i="52"/>
  <c r="D8" i="52"/>
  <c r="D10" i="52"/>
  <c r="D11" i="52"/>
  <c r="F60" i="52"/>
  <c r="N16" i="57" s="1"/>
  <c r="D70" i="52"/>
  <c r="D72" i="52"/>
  <c r="D74" i="52"/>
  <c r="D69" i="52"/>
  <c r="D73" i="52"/>
  <c r="F107" i="52"/>
  <c r="L26" i="57" s="1"/>
  <c r="E107" i="52"/>
  <c r="F57" i="53"/>
  <c r="K16" i="58" s="1"/>
  <c r="E57" i="53"/>
  <c r="D116" i="51"/>
  <c r="D111" i="51"/>
  <c r="D113" i="51"/>
  <c r="D112" i="51"/>
  <c r="D114" i="51"/>
  <c r="F20" i="53"/>
  <c r="O5" i="58" s="1"/>
  <c r="E20" i="53"/>
  <c r="B21" i="53"/>
  <c r="O1" i="58" s="1"/>
  <c r="J34" i="58" s="1"/>
  <c r="G20" i="53"/>
  <c r="F114" i="55"/>
  <c r="R26" i="60" s="1"/>
  <c r="E114" i="55"/>
  <c r="D22" i="51"/>
  <c r="D20" i="51"/>
  <c r="D24" i="51"/>
  <c r="D21" i="51"/>
  <c r="D23" i="51"/>
  <c r="D25" i="51"/>
  <c r="D36" i="51"/>
  <c r="F100" i="51"/>
  <c r="F26" i="56" s="1"/>
  <c r="E100" i="51"/>
  <c r="F84" i="51"/>
  <c r="J21" i="56" s="1"/>
  <c r="E84" i="51"/>
  <c r="F122" i="51"/>
  <c r="G32" i="56" s="1"/>
  <c r="E122" i="51"/>
  <c r="E45" i="54"/>
  <c r="F45" i="54"/>
  <c r="S10" i="59" s="1"/>
  <c r="D55" i="52"/>
  <c r="D57" i="52"/>
  <c r="D59" i="52"/>
  <c r="D56" i="52"/>
  <c r="D58" i="52"/>
  <c r="D60" i="52"/>
  <c r="F22" i="51"/>
  <c r="Q5" i="56" s="1"/>
  <c r="E22" i="51"/>
  <c r="E76" i="52"/>
  <c r="B77" i="52"/>
  <c r="C17" i="57" s="1"/>
  <c r="B40" i="57" s="1"/>
  <c r="F76" i="52"/>
  <c r="C21" i="57" s="1"/>
  <c r="F116" i="52"/>
  <c r="T26" i="57" s="1"/>
  <c r="B77" i="53"/>
  <c r="C17" i="58" s="1"/>
  <c r="B40" i="58" s="1"/>
  <c r="G76" i="53"/>
  <c r="E76" i="53"/>
  <c r="F76" i="53"/>
  <c r="C21" i="58" s="1"/>
  <c r="F50" i="51"/>
  <c r="E16" i="56" s="1"/>
  <c r="E50" i="51"/>
  <c r="D119" i="51"/>
  <c r="D122" i="51"/>
  <c r="D121" i="51"/>
  <c r="D123" i="51"/>
  <c r="D120" i="51"/>
  <c r="B119" i="53"/>
  <c r="C28" i="58" s="1"/>
  <c r="B44" i="58" s="1"/>
  <c r="E118" i="53"/>
  <c r="F118" i="53"/>
  <c r="C32" i="58" s="1"/>
  <c r="G118" i="53"/>
  <c r="E9" i="54"/>
  <c r="F9" i="54"/>
  <c r="F5" i="59" s="1"/>
  <c r="D14" i="51"/>
  <c r="D16" i="51"/>
  <c r="D15" i="51"/>
  <c r="D13" i="51"/>
  <c r="D17" i="51"/>
  <c r="F32" i="51"/>
  <c r="H10" i="56" s="1"/>
  <c r="E32" i="51"/>
  <c r="E51" i="51"/>
  <c r="E90" i="51"/>
  <c r="B91" i="51"/>
  <c r="O17" i="56" s="1"/>
  <c r="J40" i="56" s="1"/>
  <c r="F90" i="51"/>
  <c r="O21" i="56" s="1"/>
  <c r="D6" i="51"/>
  <c r="D42" i="51"/>
  <c r="D44" i="51"/>
  <c r="D43" i="51"/>
  <c r="D41" i="51"/>
  <c r="D45" i="51"/>
  <c r="D93" i="52"/>
  <c r="D94" i="52"/>
  <c r="D95" i="52"/>
  <c r="D90" i="52"/>
  <c r="D92" i="52"/>
  <c r="D91" i="52"/>
  <c r="D34" i="51"/>
  <c r="D38" i="51"/>
  <c r="D46" i="51"/>
  <c r="E76" i="51"/>
  <c r="G76" i="51"/>
  <c r="F76" i="51"/>
  <c r="C21" i="56" s="1"/>
  <c r="B77" i="51"/>
  <c r="C17" i="56" s="1"/>
  <c r="B40" i="56" s="1"/>
  <c r="F81" i="51"/>
  <c r="H21" i="56" s="1"/>
  <c r="E81" i="51"/>
  <c r="D101" i="51"/>
  <c r="D100" i="51"/>
  <c r="D97" i="51"/>
  <c r="D99" i="51"/>
  <c r="D98" i="51"/>
  <c r="F78" i="52"/>
  <c r="E21" i="57" s="1"/>
  <c r="E78" i="52"/>
  <c r="D7" i="51"/>
  <c r="D9" i="51"/>
  <c r="F92" i="51"/>
  <c r="Q21" i="56" s="1"/>
  <c r="E92" i="51"/>
  <c r="E32" i="53"/>
  <c r="F32" i="53"/>
  <c r="H10" i="58" s="1"/>
  <c r="D115" i="51"/>
  <c r="F113" i="52"/>
  <c r="Q26" i="57" s="1"/>
  <c r="E113" i="52"/>
  <c r="E48" i="51"/>
  <c r="F7" i="51"/>
  <c r="D5" i="56" s="1"/>
  <c r="F17" i="51"/>
  <c r="M5" i="56" s="1"/>
  <c r="G20" i="51"/>
  <c r="B28" i="51"/>
  <c r="C6" i="56" s="1"/>
  <c r="B36" i="56" s="1"/>
  <c r="F35" i="51"/>
  <c r="J10" i="56" s="1"/>
  <c r="F45" i="51"/>
  <c r="S10" i="56" s="1"/>
  <c r="G48" i="51"/>
  <c r="B56" i="51"/>
  <c r="I11" i="56" s="1"/>
  <c r="E38" i="56" s="1"/>
  <c r="E58" i="51"/>
  <c r="F73" i="51"/>
  <c r="S16" i="56" s="1"/>
  <c r="F106" i="51"/>
  <c r="K26" i="56" s="1"/>
  <c r="F114" i="51"/>
  <c r="R26" i="56" s="1"/>
  <c r="E6" i="52"/>
  <c r="F8" i="52"/>
  <c r="E5" i="57" s="1"/>
  <c r="B14" i="52"/>
  <c r="I1" i="57" s="1"/>
  <c r="E34" i="57" s="1"/>
  <c r="F16" i="52"/>
  <c r="L5" i="57" s="1"/>
  <c r="B28" i="52"/>
  <c r="C6" i="57" s="1"/>
  <c r="B36" i="57" s="1"/>
  <c r="F38" i="52"/>
  <c r="M10" i="57" s="1"/>
  <c r="G41" i="52"/>
  <c r="F46" i="52"/>
  <c r="T10" i="57" s="1"/>
  <c r="F49" i="52"/>
  <c r="D16" i="57" s="1"/>
  <c r="F55" i="52"/>
  <c r="I16" i="57" s="1"/>
  <c r="F70" i="52"/>
  <c r="P16" i="57" s="1"/>
  <c r="F81" i="52"/>
  <c r="H21" i="57" s="1"/>
  <c r="F84" i="52"/>
  <c r="J21" i="57" s="1"/>
  <c r="B105" i="52"/>
  <c r="I22" i="57" s="1"/>
  <c r="E42" i="57" s="1"/>
  <c r="B14" i="53"/>
  <c r="I1" i="58" s="1"/>
  <c r="E34" i="58" s="1"/>
  <c r="D53" i="53"/>
  <c r="E55" i="54"/>
  <c r="F55" i="54"/>
  <c r="I16" i="59" s="1"/>
  <c r="B56" i="54"/>
  <c r="I11" i="59" s="1"/>
  <c r="E38" i="59" s="1"/>
  <c r="G55" i="54"/>
  <c r="E118" i="51"/>
  <c r="E6" i="51"/>
  <c r="E8" i="51"/>
  <c r="E18" i="51"/>
  <c r="E34" i="51"/>
  <c r="E36" i="51"/>
  <c r="E46" i="51"/>
  <c r="E59" i="51"/>
  <c r="F69" i="51"/>
  <c r="O16" i="56" s="1"/>
  <c r="E74" i="51"/>
  <c r="E77" i="51"/>
  <c r="E83" i="51"/>
  <c r="E107" i="51"/>
  <c r="E115" i="51"/>
  <c r="G118" i="51"/>
  <c r="E9" i="52"/>
  <c r="F34" i="52"/>
  <c r="I10" i="57" s="1"/>
  <c r="F50" i="52"/>
  <c r="E16" i="57" s="1"/>
  <c r="E71" i="52"/>
  <c r="E85" i="52"/>
  <c r="G97" i="52"/>
  <c r="D120" i="52"/>
  <c r="E15" i="53"/>
  <c r="E101" i="53"/>
  <c r="F101" i="53"/>
  <c r="G26" i="58" s="1"/>
  <c r="F6" i="51"/>
  <c r="C5" i="56" s="1"/>
  <c r="F34" i="51"/>
  <c r="I10" i="56" s="1"/>
  <c r="B105" i="51"/>
  <c r="I22" i="56" s="1"/>
  <c r="E42" i="56" s="1"/>
  <c r="F48" i="52"/>
  <c r="C16" i="57" s="1"/>
  <c r="E91" i="52"/>
  <c r="B112" i="52"/>
  <c r="O22" i="57" s="1"/>
  <c r="J42" i="57" s="1"/>
  <c r="D118" i="52"/>
  <c r="E9" i="53"/>
  <c r="E18" i="53"/>
  <c r="E37" i="53"/>
  <c r="E41" i="53"/>
  <c r="E73" i="53"/>
  <c r="F85" i="53"/>
  <c r="K21" i="58" s="1"/>
  <c r="E69" i="52"/>
  <c r="D123" i="52"/>
  <c r="E11" i="51"/>
  <c r="E29" i="51"/>
  <c r="E39" i="51"/>
  <c r="E57" i="51"/>
  <c r="E72" i="51"/>
  <c r="D86" i="51"/>
  <c r="E94" i="51"/>
  <c r="F97" i="51"/>
  <c r="C26" i="56" s="1"/>
  <c r="E102" i="51"/>
  <c r="E105" i="51"/>
  <c r="E111" i="51"/>
  <c r="F69" i="52"/>
  <c r="O16" i="57" s="1"/>
  <c r="B98" i="52"/>
  <c r="C22" i="57" s="1"/>
  <c r="B42" i="57" s="1"/>
  <c r="E109" i="52"/>
  <c r="E112" i="52"/>
  <c r="E123" i="52"/>
  <c r="E13" i="53"/>
  <c r="F41" i="53"/>
  <c r="O10" i="58" s="1"/>
  <c r="B42" i="53"/>
  <c r="O6" i="58" s="1"/>
  <c r="J36" i="58" s="1"/>
  <c r="F55" i="53"/>
  <c r="I16" i="58" s="1"/>
  <c r="B56" i="53"/>
  <c r="I11" i="58" s="1"/>
  <c r="E38" i="58" s="1"/>
  <c r="E55" i="53"/>
  <c r="F95" i="53"/>
  <c r="T21" i="58" s="1"/>
  <c r="E95" i="53"/>
  <c r="G97" i="51"/>
  <c r="F111" i="51"/>
  <c r="O26" i="56" s="1"/>
  <c r="G69" i="52"/>
  <c r="F86" i="52"/>
  <c r="L21" i="57" s="1"/>
  <c r="E28" i="53"/>
  <c r="D49" i="53"/>
  <c r="D51" i="53"/>
  <c r="F86" i="53"/>
  <c r="L21" i="58" s="1"/>
  <c r="E86" i="53"/>
  <c r="D94" i="53"/>
  <c r="D90" i="53"/>
  <c r="D95" i="53"/>
  <c r="D92" i="53"/>
  <c r="D91" i="53"/>
  <c r="D93" i="53"/>
  <c r="G13" i="54"/>
  <c r="B14" i="54"/>
  <c r="I1" i="59" s="1"/>
  <c r="E34" i="59" s="1"/>
  <c r="E13" i="54"/>
  <c r="F13" i="54"/>
  <c r="I5" i="59" s="1"/>
  <c r="D70" i="51"/>
  <c r="F78" i="51"/>
  <c r="E21" i="56" s="1"/>
  <c r="G111" i="51"/>
  <c r="F116" i="51"/>
  <c r="T26" i="56" s="1"/>
  <c r="B49" i="52"/>
  <c r="C11" i="57" s="1"/>
  <c r="B38" i="57" s="1"/>
  <c r="F98" i="52"/>
  <c r="D26" i="57" s="1"/>
  <c r="E25" i="53"/>
  <c r="D37" i="53"/>
  <c r="D38" i="53"/>
  <c r="D35" i="53"/>
  <c r="F42" i="53"/>
  <c r="P10" i="58" s="1"/>
  <c r="D52" i="53"/>
  <c r="F87" i="53"/>
  <c r="M21" i="58" s="1"/>
  <c r="E91" i="53"/>
  <c r="E20" i="51"/>
  <c r="D119" i="52"/>
  <c r="D84" i="53"/>
  <c r="D86" i="53"/>
  <c r="D88" i="53"/>
  <c r="D83" i="53"/>
  <c r="D87" i="53"/>
  <c r="D105" i="53"/>
  <c r="D108" i="53"/>
  <c r="E46" i="55"/>
  <c r="F46" i="55"/>
  <c r="T10" i="60" s="1"/>
  <c r="F52" i="53"/>
  <c r="G16" i="58" s="1"/>
  <c r="D73" i="53"/>
  <c r="F105" i="53"/>
  <c r="J26" i="58" s="1"/>
  <c r="E105" i="53"/>
  <c r="F14" i="54"/>
  <c r="J5" i="59" s="1"/>
  <c r="F29" i="54"/>
  <c r="E10" i="59" s="1"/>
  <c r="E77" i="54"/>
  <c r="F77" i="54"/>
  <c r="D21" i="59" s="1"/>
  <c r="E102" i="54"/>
  <c r="F102" i="54"/>
  <c r="H26" i="59" s="1"/>
  <c r="E32" i="55"/>
  <c r="F32" i="55"/>
  <c r="H10" i="60" s="1"/>
  <c r="D45" i="54"/>
  <c r="D44" i="54"/>
  <c r="D43" i="54"/>
  <c r="F60" i="54"/>
  <c r="N16" i="59" s="1"/>
  <c r="E60" i="54"/>
  <c r="E90" i="54"/>
  <c r="F90" i="54"/>
  <c r="O21" i="59" s="1"/>
  <c r="G90" i="54"/>
  <c r="B91" i="54"/>
  <c r="O17" i="59" s="1"/>
  <c r="J40" i="59" s="1"/>
  <c r="E109" i="55"/>
  <c r="F109" i="55"/>
  <c r="N26" i="60" s="1"/>
  <c r="D104" i="53"/>
  <c r="E123" i="53"/>
  <c r="F123" i="53"/>
  <c r="H32" i="58" s="1"/>
  <c r="F42" i="54"/>
  <c r="P10" i="59" s="1"/>
  <c r="F51" i="54"/>
  <c r="F16" i="59" s="1"/>
  <c r="E11" i="55"/>
  <c r="F11" i="55"/>
  <c r="H5" i="60" s="1"/>
  <c r="E50" i="55"/>
  <c r="D109" i="55"/>
  <c r="D106" i="55"/>
  <c r="D104" i="55"/>
  <c r="D108" i="55"/>
  <c r="D107" i="55"/>
  <c r="D105" i="55"/>
  <c r="E52" i="54"/>
  <c r="F52" i="54"/>
  <c r="G16" i="59" s="1"/>
  <c r="E74" i="54"/>
  <c r="F74" i="54"/>
  <c r="T16" i="59" s="1"/>
  <c r="F80" i="54"/>
  <c r="G21" i="59" s="1"/>
  <c r="E80" i="54"/>
  <c r="E29" i="55"/>
  <c r="E36" i="55"/>
  <c r="F36" i="55"/>
  <c r="K10" i="60" s="1"/>
  <c r="E92" i="53"/>
  <c r="D71" i="54"/>
  <c r="D69" i="54"/>
  <c r="D72" i="54"/>
  <c r="D73" i="54"/>
  <c r="D70" i="54"/>
  <c r="E121" i="53"/>
  <c r="F70" i="54"/>
  <c r="P16" i="59" s="1"/>
  <c r="E70" i="54"/>
  <c r="E86" i="54"/>
  <c r="F86" i="54"/>
  <c r="L21" i="59" s="1"/>
  <c r="B21" i="54"/>
  <c r="O1" i="59" s="1"/>
  <c r="J34" i="59" s="1"/>
  <c r="F20" i="54"/>
  <c r="O5" i="59" s="1"/>
  <c r="E20" i="54"/>
  <c r="E97" i="55"/>
  <c r="B98" i="55"/>
  <c r="C22" i="60" s="1"/>
  <c r="B42" i="60" s="1"/>
  <c r="F97" i="55"/>
  <c r="C26" i="60" s="1"/>
  <c r="B119" i="54"/>
  <c r="C28" i="59" s="1"/>
  <c r="B44" i="59" s="1"/>
  <c r="E8" i="55"/>
  <c r="F8" i="55"/>
  <c r="E5" i="60" s="1"/>
  <c r="E71" i="55"/>
  <c r="F71" i="55"/>
  <c r="Q16" i="60" s="1"/>
  <c r="F87" i="54"/>
  <c r="M21" i="59" s="1"/>
  <c r="E119" i="54"/>
  <c r="E18" i="55"/>
  <c r="F18" i="55"/>
  <c r="N5" i="60" s="1"/>
  <c r="B84" i="55"/>
  <c r="I17" i="60" s="1"/>
  <c r="E40" i="60" s="1"/>
  <c r="G83" i="55"/>
  <c r="E83" i="55"/>
  <c r="E91" i="54"/>
  <c r="E104" i="54"/>
  <c r="E113" i="54"/>
  <c r="E116" i="54"/>
  <c r="E6" i="55"/>
  <c r="F6" i="55"/>
  <c r="C5" i="60" s="1"/>
  <c r="E20" i="55"/>
  <c r="E23" i="55"/>
  <c r="E27" i="55"/>
  <c r="B28" i="54"/>
  <c r="C6" i="59" s="1"/>
  <c r="B36" i="59" s="1"/>
  <c r="E39" i="54"/>
  <c r="F39" i="54"/>
  <c r="N10" i="59" s="1"/>
  <c r="D85" i="54"/>
  <c r="D88" i="54"/>
  <c r="F104" i="54"/>
  <c r="I26" i="59" s="1"/>
  <c r="E107" i="54"/>
  <c r="D111" i="54"/>
  <c r="F20" i="55"/>
  <c r="O5" i="60" s="1"/>
  <c r="F30" i="55"/>
  <c r="F10" i="60" s="1"/>
  <c r="E48" i="55"/>
  <c r="E51" i="55"/>
  <c r="E34" i="55"/>
  <c r="B35" i="55"/>
  <c r="I6" i="60" s="1"/>
  <c r="E36" i="60" s="1"/>
  <c r="F34" i="55"/>
  <c r="I10" i="60" s="1"/>
  <c r="E69" i="55"/>
  <c r="B70" i="55"/>
  <c r="O11" i="60" s="1"/>
  <c r="J38" i="60" s="1"/>
  <c r="F69" i="55"/>
  <c r="O16" i="60" s="1"/>
  <c r="E120" i="54"/>
  <c r="F120" i="54"/>
  <c r="E32" i="59" s="1"/>
  <c r="B28" i="55"/>
  <c r="C6" i="60" s="1"/>
  <c r="B36" i="60" s="1"/>
  <c r="G27" i="55"/>
  <c r="D81" i="55"/>
  <c r="D78" i="55"/>
  <c r="D76" i="55"/>
  <c r="D80" i="55"/>
  <c r="D79" i="55"/>
  <c r="E99" i="55"/>
  <c r="F99" i="55"/>
  <c r="E26" i="60" s="1"/>
  <c r="E41" i="54"/>
  <c r="E50" i="54"/>
  <c r="E83" i="54"/>
  <c r="E95" i="54"/>
  <c r="B105" i="54"/>
  <c r="I22" i="59" s="1"/>
  <c r="E42" i="59" s="1"/>
  <c r="E108" i="54"/>
  <c r="D114" i="54"/>
  <c r="B21" i="55"/>
  <c r="O1" i="60" s="1"/>
  <c r="J34" i="60" s="1"/>
  <c r="D43" i="55"/>
  <c r="D41" i="55"/>
  <c r="D44" i="55"/>
  <c r="B56" i="55"/>
  <c r="I11" i="60" s="1"/>
  <c r="E38" i="60" s="1"/>
  <c r="G55" i="55"/>
  <c r="D77" i="55"/>
  <c r="B91" i="55"/>
  <c r="O17" i="60" s="1"/>
  <c r="J40" i="60" s="1"/>
  <c r="G90" i="55"/>
  <c r="D34" i="54"/>
  <c r="F41" i="54"/>
  <c r="O10" i="59" s="1"/>
  <c r="E44" i="54"/>
  <c r="D48" i="54"/>
  <c r="F83" i="54"/>
  <c r="I21" i="59" s="1"/>
  <c r="E92" i="54"/>
  <c r="F92" i="54"/>
  <c r="Q21" i="59" s="1"/>
  <c r="F105" i="54"/>
  <c r="J26" i="59" s="1"/>
  <c r="F114" i="54"/>
  <c r="R26" i="59" s="1"/>
  <c r="E14" i="55"/>
  <c r="E17" i="55"/>
  <c r="F21" i="55"/>
  <c r="P5" i="60" s="1"/>
  <c r="D42" i="55"/>
  <c r="D45" i="55"/>
  <c r="B49" i="55"/>
  <c r="C11" i="60" s="1"/>
  <c r="B38" i="60" s="1"/>
  <c r="F59" i="55"/>
  <c r="M16" i="60" s="1"/>
  <c r="E77" i="55"/>
  <c r="F86" i="55"/>
  <c r="L21" i="60" s="1"/>
  <c r="E86" i="55"/>
  <c r="F112" i="55"/>
  <c r="P26" i="60" s="1"/>
  <c r="E48" i="54"/>
  <c r="E73" i="54"/>
  <c r="G83" i="54"/>
  <c r="D86" i="54"/>
  <c r="D8" i="55"/>
  <c r="E42" i="55"/>
  <c r="E45" i="55"/>
  <c r="F49" i="55"/>
  <c r="D16" i="60" s="1"/>
  <c r="E81" i="55"/>
  <c r="F81" i="55"/>
  <c r="H21" i="60" s="1"/>
  <c r="E57" i="54"/>
  <c r="F57" i="54"/>
  <c r="K16" i="59" s="1"/>
  <c r="E118" i="54"/>
  <c r="F118" i="54"/>
  <c r="C32" i="59" s="1"/>
  <c r="D122" i="55"/>
  <c r="D119" i="55"/>
  <c r="D121" i="55"/>
  <c r="D123" i="55"/>
  <c r="G118" i="55"/>
  <c r="E113" i="55"/>
  <c r="E119" i="55"/>
  <c r="H58" i="33"/>
  <c r="H57" i="33"/>
  <c r="H56" i="33"/>
  <c r="F8" i="24"/>
  <c r="D53" i="31"/>
  <c r="D27" i="36"/>
  <c r="D28" i="36"/>
  <c r="G24" i="24"/>
  <c r="D120" i="31"/>
  <c r="G3" i="24"/>
  <c r="O6" i="24"/>
  <c r="J36" i="24" s="1"/>
  <c r="I1" i="24"/>
  <c r="E34" i="24" s="1"/>
  <c r="D118" i="31"/>
  <c r="H53" i="37"/>
  <c r="J24" i="24"/>
  <c r="T3" i="24"/>
  <c r="T13" i="24"/>
  <c r="D19" i="24"/>
  <c r="H92" i="38"/>
  <c r="D84" i="38"/>
  <c r="D88" i="38"/>
  <c r="D87" i="38"/>
  <c r="D112" i="38"/>
  <c r="D116" i="38"/>
  <c r="D115" i="38"/>
  <c r="H17" i="38"/>
  <c r="E7" i="38"/>
  <c r="E13" i="38"/>
  <c r="B28" i="38"/>
  <c r="F48" i="38"/>
  <c r="C16" i="49" s="1"/>
  <c r="D57" i="38"/>
  <c r="E76" i="38"/>
  <c r="F84" i="38"/>
  <c r="J21" i="49" s="1"/>
  <c r="E90" i="38"/>
  <c r="O19" i="49" s="1"/>
  <c r="B105" i="38"/>
  <c r="D108" i="38" s="1"/>
  <c r="F119" i="38"/>
  <c r="D32" i="49" s="1"/>
  <c r="G34" i="38"/>
  <c r="G76" i="38"/>
  <c r="F49" i="38"/>
  <c r="D16" i="49" s="1"/>
  <c r="D55" i="38"/>
  <c r="G111" i="38"/>
  <c r="E116" i="38"/>
  <c r="E15" i="38"/>
  <c r="F20" i="38"/>
  <c r="O5" i="49" s="1"/>
  <c r="F41" i="38"/>
  <c r="O10" i="49" s="1"/>
  <c r="E83" i="38"/>
  <c r="E121" i="38"/>
  <c r="G20" i="38"/>
  <c r="G41" i="38"/>
  <c r="F59" i="38"/>
  <c r="M16" i="49" s="1"/>
  <c r="E78" i="38"/>
  <c r="F83" i="38"/>
  <c r="I21" i="49" s="1"/>
  <c r="G97" i="38"/>
  <c r="E27" i="38"/>
  <c r="E74" i="38"/>
  <c r="G83" i="38"/>
  <c r="D92" i="38"/>
  <c r="E108" i="38"/>
  <c r="M24" i="49" s="1"/>
  <c r="E118" i="38"/>
  <c r="C30" i="49" s="1"/>
  <c r="D52" i="38"/>
  <c r="F21" i="38"/>
  <c r="P5" i="49" s="1"/>
  <c r="F27" i="38"/>
  <c r="C10" i="49" s="1"/>
  <c r="E52" i="38"/>
  <c r="E104" i="38"/>
  <c r="F118" i="38"/>
  <c r="C32" i="49" s="1"/>
  <c r="F122" i="38"/>
  <c r="G32" i="49" s="1"/>
  <c r="E70" i="38"/>
  <c r="D53" i="38"/>
  <c r="D90" i="38"/>
  <c r="B119" i="38"/>
  <c r="D123" i="38" s="1"/>
  <c r="D18" i="38"/>
  <c r="B21" i="38"/>
  <c r="O1" i="49" s="1"/>
  <c r="J34" i="49" s="1"/>
  <c r="E23" i="38"/>
  <c r="D46" i="38"/>
  <c r="E51" i="38"/>
  <c r="D81" i="38"/>
  <c r="F6" i="38"/>
  <c r="C5" i="49" s="1"/>
  <c r="F8" i="38"/>
  <c r="E5" i="49" s="1"/>
  <c r="D16" i="38"/>
  <c r="F18" i="38"/>
  <c r="N5" i="49" s="1"/>
  <c r="F34" i="38"/>
  <c r="I10" i="49" s="1"/>
  <c r="F36" i="38"/>
  <c r="K10" i="49" s="1"/>
  <c r="D44" i="38"/>
  <c r="F46" i="38"/>
  <c r="T10" i="49" s="1"/>
  <c r="F69" i="38"/>
  <c r="O16" i="49" s="1"/>
  <c r="F71" i="38"/>
  <c r="Q16" i="49" s="1"/>
  <c r="D79" i="38"/>
  <c r="F81" i="38"/>
  <c r="H21" i="49" s="1"/>
  <c r="F97" i="38"/>
  <c r="C26" i="49" s="1"/>
  <c r="F99" i="38"/>
  <c r="E26" i="49" s="1"/>
  <c r="F109" i="38"/>
  <c r="N26" i="49" s="1"/>
  <c r="D14" i="38"/>
  <c r="D42" i="38"/>
  <c r="D77" i="38"/>
  <c r="B7" i="38"/>
  <c r="C1" i="49" s="1"/>
  <c r="B34" i="49" s="1"/>
  <c r="E9" i="38"/>
  <c r="B35" i="38"/>
  <c r="I6" i="49" s="1"/>
  <c r="E36" i="49" s="1"/>
  <c r="E37" i="38"/>
  <c r="D48" i="38"/>
  <c r="D50" i="38"/>
  <c r="D60" i="38"/>
  <c r="B70" i="38"/>
  <c r="O11" i="49" s="1"/>
  <c r="J38" i="49" s="1"/>
  <c r="E72" i="38"/>
  <c r="D83" i="38"/>
  <c r="D85" i="38"/>
  <c r="D95" i="38"/>
  <c r="B98" i="38"/>
  <c r="C22" i="49" s="1"/>
  <c r="B42" i="49" s="1"/>
  <c r="E100" i="38"/>
  <c r="D111" i="38"/>
  <c r="D113" i="38"/>
  <c r="D17" i="38"/>
  <c r="E22" i="38"/>
  <c r="E32" i="38"/>
  <c r="D45" i="38"/>
  <c r="E50" i="38"/>
  <c r="E60" i="38"/>
  <c r="D80" i="38"/>
  <c r="E85" i="38"/>
  <c r="E95" i="38"/>
  <c r="E113" i="38"/>
  <c r="E123" i="38"/>
  <c r="D58" i="38"/>
  <c r="D93" i="38"/>
  <c r="D41" i="38"/>
  <c r="D76" i="38"/>
  <c r="D56" i="38"/>
  <c r="D91" i="38"/>
  <c r="D51" i="38"/>
  <c r="D86" i="38"/>
  <c r="D114" i="38"/>
  <c r="E86" i="38"/>
  <c r="E114" i="38"/>
  <c r="D13" i="38"/>
  <c r="H79" i="37"/>
  <c r="H39" i="37"/>
  <c r="F13" i="37"/>
  <c r="I5" i="48" s="1"/>
  <c r="F16" i="37"/>
  <c r="L5" i="48" s="1"/>
  <c r="F37" i="37"/>
  <c r="L10" i="48" s="1"/>
  <c r="F88" i="37"/>
  <c r="N21" i="48" s="1"/>
  <c r="F92" i="37"/>
  <c r="Q21" i="48" s="1"/>
  <c r="F120" i="37"/>
  <c r="E32" i="48" s="1"/>
  <c r="E29" i="37"/>
  <c r="E57" i="37"/>
  <c r="E116" i="37"/>
  <c r="B49" i="37"/>
  <c r="C11" i="48" s="1"/>
  <c r="B38" i="48" s="1"/>
  <c r="F90" i="37"/>
  <c r="O21" i="48" s="1"/>
  <c r="B112" i="37"/>
  <c r="O22" i="48" s="1"/>
  <c r="J42" i="48" s="1"/>
  <c r="E118" i="37"/>
  <c r="F118" i="37"/>
  <c r="C32" i="48" s="1"/>
  <c r="E76" i="37"/>
  <c r="D87" i="37"/>
  <c r="E104" i="37"/>
  <c r="I24" i="48" s="1"/>
  <c r="E107" i="37"/>
  <c r="L24" i="48" s="1"/>
  <c r="G118" i="37"/>
  <c r="F104" i="37"/>
  <c r="I26" i="48" s="1"/>
  <c r="E41" i="37"/>
  <c r="G76" i="37"/>
  <c r="G104" i="37"/>
  <c r="F119" i="37"/>
  <c r="D32" i="48" s="1"/>
  <c r="E108" i="37"/>
  <c r="H56" i="36"/>
  <c r="E109" i="36"/>
  <c r="B14" i="36"/>
  <c r="I1" i="47" s="1"/>
  <c r="E34" i="47" s="1"/>
  <c r="D29" i="36"/>
  <c r="F55" i="36"/>
  <c r="I16" i="47" s="1"/>
  <c r="G76" i="36"/>
  <c r="E91" i="36"/>
  <c r="F76" i="36"/>
  <c r="C21" i="47" s="1"/>
  <c r="F29" i="36"/>
  <c r="E10" i="47" s="1"/>
  <c r="E44" i="36"/>
  <c r="R8" i="47" s="1"/>
  <c r="G55" i="36"/>
  <c r="E72" i="36"/>
  <c r="R13" i="47" s="1"/>
  <c r="D97" i="36"/>
  <c r="B105" i="36"/>
  <c r="D107" i="36" s="1"/>
  <c r="D92" i="36"/>
  <c r="B56" i="36"/>
  <c r="E69" i="36"/>
  <c r="E73" i="36"/>
  <c r="B77" i="36"/>
  <c r="G6" i="36"/>
  <c r="F11" i="36"/>
  <c r="H5" i="47" s="1"/>
  <c r="F15" i="36"/>
  <c r="K5" i="47" s="1"/>
  <c r="F21" i="36"/>
  <c r="P5" i="47" s="1"/>
  <c r="F27" i="36"/>
  <c r="C10" i="47" s="1"/>
  <c r="D31" i="36"/>
  <c r="D46" i="36"/>
  <c r="G69" i="36"/>
  <c r="F88" i="36"/>
  <c r="N21" i="47" s="1"/>
  <c r="F92" i="36"/>
  <c r="Q21" i="47" s="1"/>
  <c r="D102" i="36"/>
  <c r="E16" i="36"/>
  <c r="E37" i="36"/>
  <c r="B70" i="36"/>
  <c r="O11" i="47" s="1"/>
  <c r="J38" i="47" s="1"/>
  <c r="F102" i="36"/>
  <c r="H26" i="47" s="1"/>
  <c r="F112" i="36"/>
  <c r="P26" i="47" s="1"/>
  <c r="E13" i="36"/>
  <c r="E23" i="36"/>
  <c r="D32" i="36"/>
  <c r="F74" i="36"/>
  <c r="T16" i="47" s="1"/>
  <c r="F78" i="36"/>
  <c r="E21" i="47" s="1"/>
  <c r="D90" i="36"/>
  <c r="D94" i="36"/>
  <c r="D99" i="36"/>
  <c r="E99" i="36"/>
  <c r="F13" i="36"/>
  <c r="I5" i="47" s="1"/>
  <c r="E24" i="36"/>
  <c r="E28" i="36"/>
  <c r="E104" i="36"/>
  <c r="E114" i="36"/>
  <c r="B119" i="36"/>
  <c r="C28" i="47" s="1"/>
  <c r="B44" i="47" s="1"/>
  <c r="E34" i="36"/>
  <c r="D95" i="36"/>
  <c r="D21" i="37"/>
  <c r="D23" i="37"/>
  <c r="D25" i="37"/>
  <c r="D22" i="37"/>
  <c r="D20" i="37"/>
  <c r="D24" i="37"/>
  <c r="D94" i="37"/>
  <c r="D91" i="37"/>
  <c r="D93" i="37"/>
  <c r="D95" i="37"/>
  <c r="D92" i="37"/>
  <c r="D90" i="37"/>
  <c r="D122" i="37"/>
  <c r="D119" i="37"/>
  <c r="D121" i="37"/>
  <c r="D123" i="37"/>
  <c r="D120" i="37"/>
  <c r="D118" i="37"/>
  <c r="D31" i="37"/>
  <c r="D28" i="37"/>
  <c r="D30" i="37"/>
  <c r="D32" i="37"/>
  <c r="D29" i="37"/>
  <c r="D27" i="37"/>
  <c r="D59" i="37"/>
  <c r="D56" i="37"/>
  <c r="D58" i="37"/>
  <c r="D60" i="37"/>
  <c r="D57" i="37"/>
  <c r="D55" i="37"/>
  <c r="E86" i="37"/>
  <c r="F6" i="37"/>
  <c r="C5" i="48" s="1"/>
  <c r="F8" i="37"/>
  <c r="E5" i="48" s="1"/>
  <c r="D16" i="37"/>
  <c r="F18" i="37"/>
  <c r="N5" i="48" s="1"/>
  <c r="E21" i="37"/>
  <c r="E31" i="37"/>
  <c r="F34" i="37"/>
  <c r="I10" i="48" s="1"/>
  <c r="F36" i="37"/>
  <c r="K10" i="48" s="1"/>
  <c r="D44" i="37"/>
  <c r="F46" i="37"/>
  <c r="T10" i="48" s="1"/>
  <c r="E49" i="37"/>
  <c r="E59" i="37"/>
  <c r="F69" i="37"/>
  <c r="O16" i="48" s="1"/>
  <c r="F71" i="37"/>
  <c r="Q16" i="48" s="1"/>
  <c r="D79" i="37"/>
  <c r="F81" i="37"/>
  <c r="H21" i="48" s="1"/>
  <c r="E84" i="37"/>
  <c r="E94" i="37"/>
  <c r="F97" i="37"/>
  <c r="C26" i="48" s="1"/>
  <c r="F99" i="37"/>
  <c r="E26" i="48" s="1"/>
  <c r="D107" i="37"/>
  <c r="F109" i="37"/>
  <c r="N26" i="48" s="1"/>
  <c r="E112" i="37"/>
  <c r="E122" i="37"/>
  <c r="G6" i="37"/>
  <c r="G34" i="37"/>
  <c r="G69" i="37"/>
  <c r="D74" i="37"/>
  <c r="G97" i="37"/>
  <c r="D14" i="37"/>
  <c r="D42" i="37"/>
  <c r="D77" i="37"/>
  <c r="D105" i="37"/>
  <c r="B7" i="37"/>
  <c r="C1" i="48" s="1"/>
  <c r="B34" i="48" s="1"/>
  <c r="B35" i="37"/>
  <c r="I6" i="48" s="1"/>
  <c r="E36" i="48" s="1"/>
  <c r="D83" i="37"/>
  <c r="D85" i="37"/>
  <c r="B98" i="37"/>
  <c r="C22" i="48" s="1"/>
  <c r="B42" i="48" s="1"/>
  <c r="D17" i="37"/>
  <c r="E20" i="37"/>
  <c r="E22" i="37"/>
  <c r="E32" i="37"/>
  <c r="D45" i="37"/>
  <c r="E48" i="37"/>
  <c r="C13" i="48" s="1"/>
  <c r="E50" i="37"/>
  <c r="E60" i="37"/>
  <c r="D70" i="37"/>
  <c r="D80" i="37"/>
  <c r="E83" i="37"/>
  <c r="E85" i="37"/>
  <c r="E95" i="37"/>
  <c r="D108" i="37"/>
  <c r="E111" i="37"/>
  <c r="E113" i="37"/>
  <c r="E123" i="37"/>
  <c r="E7" i="37"/>
  <c r="E17" i="37"/>
  <c r="F20" i="37"/>
  <c r="O5" i="48" s="1"/>
  <c r="E35" i="37"/>
  <c r="E45" i="37"/>
  <c r="F48" i="37"/>
  <c r="C16" i="48" s="1"/>
  <c r="E70" i="37"/>
  <c r="P13" i="48" s="1"/>
  <c r="E80" i="37"/>
  <c r="F83" i="37"/>
  <c r="I21" i="48" s="1"/>
  <c r="E98" i="37"/>
  <c r="D24" i="48" s="1"/>
  <c r="D13" i="37"/>
  <c r="D15" i="37"/>
  <c r="G20" i="37"/>
  <c r="E30" i="37"/>
  <c r="D41" i="37"/>
  <c r="D43" i="37"/>
  <c r="E58" i="37"/>
  <c r="D76" i="37"/>
  <c r="D78" i="37"/>
  <c r="D88" i="37"/>
  <c r="E93" i="37"/>
  <c r="D104" i="37"/>
  <c r="D106" i="37"/>
  <c r="E121" i="37"/>
  <c r="D72" i="37"/>
  <c r="D73" i="37"/>
  <c r="D86" i="37"/>
  <c r="E23" i="37"/>
  <c r="E51" i="37"/>
  <c r="D69" i="37"/>
  <c r="E114" i="37"/>
  <c r="H74" i="36"/>
  <c r="H90" i="36"/>
  <c r="D38" i="36"/>
  <c r="D36" i="36"/>
  <c r="D34" i="36"/>
  <c r="D35" i="36"/>
  <c r="D39" i="36"/>
  <c r="D37" i="36"/>
  <c r="H39" i="36"/>
  <c r="H25" i="36"/>
  <c r="D10" i="36"/>
  <c r="D7" i="36"/>
  <c r="D9" i="36"/>
  <c r="D6" i="36"/>
  <c r="D8" i="36"/>
  <c r="D11" i="36"/>
  <c r="H88" i="36"/>
  <c r="H92" i="36"/>
  <c r="H57" i="36"/>
  <c r="H106" i="36"/>
  <c r="H53" i="36"/>
  <c r="F6" i="36"/>
  <c r="C5" i="47" s="1"/>
  <c r="F34" i="36"/>
  <c r="I10" i="47" s="1"/>
  <c r="D44" i="36"/>
  <c r="B21" i="36"/>
  <c r="O1" i="47" s="1"/>
  <c r="J34" i="47" s="1"/>
  <c r="D42" i="36"/>
  <c r="D52" i="36"/>
  <c r="D87" i="36"/>
  <c r="D115" i="36"/>
  <c r="E120" i="36"/>
  <c r="E30" i="47" s="1"/>
  <c r="D100" i="36"/>
  <c r="D111" i="36"/>
  <c r="D113" i="36"/>
  <c r="D83" i="36"/>
  <c r="D85" i="36"/>
  <c r="E20" i="36"/>
  <c r="E22" i="36"/>
  <c r="E32" i="36"/>
  <c r="D45" i="36"/>
  <c r="E48" i="36"/>
  <c r="E50" i="36"/>
  <c r="E60" i="36"/>
  <c r="E83" i="36"/>
  <c r="E85" i="36"/>
  <c r="H87" i="36"/>
  <c r="E95" i="36"/>
  <c r="D98" i="36"/>
  <c r="E111" i="36"/>
  <c r="E113" i="36"/>
  <c r="E123" i="36"/>
  <c r="D48" i="36"/>
  <c r="D50" i="36"/>
  <c r="E7" i="36"/>
  <c r="E17" i="36"/>
  <c r="F20" i="36"/>
  <c r="O5" i="47" s="1"/>
  <c r="E35" i="36"/>
  <c r="E45" i="36"/>
  <c r="F48" i="36"/>
  <c r="C16" i="47" s="1"/>
  <c r="E70" i="36"/>
  <c r="E80" i="36"/>
  <c r="F83" i="36"/>
  <c r="I21" i="47" s="1"/>
  <c r="D93" i="36"/>
  <c r="E98" i="36"/>
  <c r="E108" i="36"/>
  <c r="F111" i="36"/>
  <c r="O26" i="47" s="1"/>
  <c r="E30" i="36"/>
  <c r="D41" i="36"/>
  <c r="D53" i="36"/>
  <c r="E58" i="36"/>
  <c r="D88" i="36"/>
  <c r="E93" i="36"/>
  <c r="D116" i="36"/>
  <c r="E121" i="36"/>
  <c r="D51" i="36"/>
  <c r="D86" i="36"/>
  <c r="D114" i="36"/>
  <c r="G104" i="35"/>
  <c r="E6" i="35"/>
  <c r="C3" i="46" s="1"/>
  <c r="F24" i="35"/>
  <c r="S5" i="46" s="1"/>
  <c r="F37" i="35"/>
  <c r="L10" i="46" s="1"/>
  <c r="F70" i="35"/>
  <c r="P16" i="46" s="1"/>
  <c r="G83" i="35"/>
  <c r="F90" i="35"/>
  <c r="O21" i="46" s="1"/>
  <c r="E97" i="35"/>
  <c r="F102" i="35"/>
  <c r="H26" i="46" s="1"/>
  <c r="B77" i="35"/>
  <c r="C17" i="46" s="1"/>
  <c r="B40" i="46" s="1"/>
  <c r="G6" i="35"/>
  <c r="F13" i="35"/>
  <c r="I5" i="46" s="1"/>
  <c r="E20" i="35"/>
  <c r="E58" i="35"/>
  <c r="E78" i="35"/>
  <c r="E91" i="35"/>
  <c r="P19" i="46" s="1"/>
  <c r="F104" i="35"/>
  <c r="I26" i="46" s="1"/>
  <c r="E111" i="35"/>
  <c r="O24" i="46" s="1"/>
  <c r="B91" i="35"/>
  <c r="D91" i="35" s="1"/>
  <c r="E39" i="35"/>
  <c r="E10" i="35"/>
  <c r="G3" i="46" s="1"/>
  <c r="E14" i="35"/>
  <c r="J3" i="46" s="1"/>
  <c r="G20" i="35"/>
  <c r="F27" i="35"/>
  <c r="C10" i="46" s="1"/>
  <c r="E34" i="35"/>
  <c r="F39" i="35"/>
  <c r="N10" i="46" s="1"/>
  <c r="E46" i="35"/>
  <c r="T8" i="46" s="1"/>
  <c r="E59" i="35"/>
  <c r="E79" i="35"/>
  <c r="F19" i="46" s="1"/>
  <c r="E92" i="35"/>
  <c r="E105" i="35"/>
  <c r="J24" i="46" s="1"/>
  <c r="G111" i="35"/>
  <c r="E27" i="35"/>
  <c r="H71" i="35"/>
  <c r="H118" i="35"/>
  <c r="E9" i="35"/>
  <c r="F3" i="46" s="1"/>
  <c r="E21" i="35"/>
  <c r="G27" i="35"/>
  <c r="F34" i="35"/>
  <c r="I10" i="46" s="1"/>
  <c r="E41" i="35"/>
  <c r="E53" i="35"/>
  <c r="E73" i="35"/>
  <c r="E86" i="35"/>
  <c r="F92" i="35"/>
  <c r="Q21" i="46" s="1"/>
  <c r="E99" i="35"/>
  <c r="E24" i="46" s="1"/>
  <c r="F105" i="35"/>
  <c r="J26" i="46" s="1"/>
  <c r="E112" i="35"/>
  <c r="P24" i="46" s="1"/>
  <c r="G118" i="35"/>
  <c r="H116" i="35"/>
  <c r="E8" i="35"/>
  <c r="E15" i="35"/>
  <c r="K3" i="46" s="1"/>
  <c r="E28" i="35"/>
  <c r="D8" i="46" s="1"/>
  <c r="G34" i="35"/>
  <c r="F41" i="35"/>
  <c r="O10" i="46" s="1"/>
  <c r="E48" i="35"/>
  <c r="C13" i="46" s="1"/>
  <c r="E60" i="35"/>
  <c r="N13" i="46" s="1"/>
  <c r="E80" i="35"/>
  <c r="E93" i="35"/>
  <c r="E106" i="35"/>
  <c r="E119" i="35"/>
  <c r="D30" i="46" s="1"/>
  <c r="B28" i="35"/>
  <c r="B119" i="35"/>
  <c r="E7" i="35"/>
  <c r="F15" i="35"/>
  <c r="K5" i="46" s="1"/>
  <c r="E35" i="35"/>
  <c r="J8" i="46" s="1"/>
  <c r="G41" i="35"/>
  <c r="F48" i="35"/>
  <c r="C16" i="46" s="1"/>
  <c r="E55" i="35"/>
  <c r="I13" i="46" s="1"/>
  <c r="F60" i="35"/>
  <c r="N16" i="46" s="1"/>
  <c r="F80" i="35"/>
  <c r="G21" i="46" s="1"/>
  <c r="E87" i="35"/>
  <c r="E100" i="35"/>
  <c r="F24" i="46" s="1"/>
  <c r="F106" i="35"/>
  <c r="K26" i="46" s="1"/>
  <c r="E113" i="35"/>
  <c r="Q24" i="46" s="1"/>
  <c r="F119" i="35"/>
  <c r="D32" i="46" s="1"/>
  <c r="H74" i="35"/>
  <c r="E16" i="35"/>
  <c r="L3" i="46" s="1"/>
  <c r="F22" i="35"/>
  <c r="Q5" i="46" s="1"/>
  <c r="E29" i="35"/>
  <c r="E42" i="35"/>
  <c r="G48" i="35"/>
  <c r="F55" i="35"/>
  <c r="I16" i="46" s="1"/>
  <c r="E69" i="35"/>
  <c r="F74" i="35"/>
  <c r="T16" i="46" s="1"/>
  <c r="E94" i="35"/>
  <c r="E107" i="35"/>
  <c r="F113" i="35"/>
  <c r="Q26" i="46" s="1"/>
  <c r="E120" i="35"/>
  <c r="E30" i="46" s="1"/>
  <c r="H81" i="35"/>
  <c r="H98" i="35"/>
  <c r="E23" i="35"/>
  <c r="F29" i="35"/>
  <c r="E10" i="46" s="1"/>
  <c r="E36" i="35"/>
  <c r="E49" i="35"/>
  <c r="G55" i="35"/>
  <c r="F69" i="35"/>
  <c r="O16" i="46" s="1"/>
  <c r="E76" i="35"/>
  <c r="F81" i="35"/>
  <c r="H21" i="46" s="1"/>
  <c r="E88" i="35"/>
  <c r="N19" i="46" s="1"/>
  <c r="E101" i="35"/>
  <c r="G24" i="46" s="1"/>
  <c r="E114" i="35"/>
  <c r="F120" i="35"/>
  <c r="E32" i="46" s="1"/>
  <c r="E17" i="35"/>
  <c r="E30" i="35"/>
  <c r="E43" i="35"/>
  <c r="F49" i="35"/>
  <c r="D16" i="46" s="1"/>
  <c r="E56" i="35"/>
  <c r="G69" i="35"/>
  <c r="F76" i="35"/>
  <c r="C21" i="46" s="1"/>
  <c r="E83" i="35"/>
  <c r="E95" i="35"/>
  <c r="E108" i="35"/>
  <c r="F114" i="35"/>
  <c r="R26" i="46" s="1"/>
  <c r="E121" i="35"/>
  <c r="H45" i="35"/>
  <c r="F17" i="35"/>
  <c r="M5" i="46" s="1"/>
  <c r="F43" i="35"/>
  <c r="Q10" i="46" s="1"/>
  <c r="E50" i="35"/>
  <c r="F95" i="35"/>
  <c r="T21" i="46" s="1"/>
  <c r="E115" i="35"/>
  <c r="B70" i="35"/>
  <c r="O11" i="46" s="1"/>
  <c r="J38" i="46" s="1"/>
  <c r="T8" i="24"/>
  <c r="H46" i="31"/>
  <c r="H81" i="31"/>
  <c r="H19" i="24"/>
  <c r="G8" i="24"/>
  <c r="H31" i="31"/>
  <c r="H113" i="31"/>
  <c r="Q24" i="24"/>
  <c r="J3" i="24"/>
  <c r="H14" i="31"/>
  <c r="H8" i="24"/>
  <c r="H32" i="31"/>
  <c r="C13" i="24"/>
  <c r="H48" i="31"/>
  <c r="I19" i="24"/>
  <c r="H83" i="31"/>
  <c r="S19" i="24"/>
  <c r="H94" i="31"/>
  <c r="H8" i="31"/>
  <c r="E3" i="24"/>
  <c r="D31" i="31"/>
  <c r="D28" i="31"/>
  <c r="D30" i="31"/>
  <c r="D29" i="31"/>
  <c r="D27" i="31"/>
  <c r="D32" i="31"/>
  <c r="O3" i="24"/>
  <c r="H20" i="31"/>
  <c r="D59" i="31"/>
  <c r="D56" i="31"/>
  <c r="D57" i="31"/>
  <c r="D58" i="31"/>
  <c r="D60" i="31"/>
  <c r="D55" i="31"/>
  <c r="O13" i="24"/>
  <c r="H69" i="31"/>
  <c r="H42" i="31"/>
  <c r="P8" i="24"/>
  <c r="H21" i="31"/>
  <c r="P3" i="24"/>
  <c r="I8" i="24"/>
  <c r="H34" i="31"/>
  <c r="D94" i="31"/>
  <c r="D91" i="31"/>
  <c r="D93" i="31"/>
  <c r="D95" i="31"/>
  <c r="D92" i="31"/>
  <c r="D90" i="31"/>
  <c r="N3" i="24"/>
  <c r="H18" i="31"/>
  <c r="H99" i="31"/>
  <c r="E24" i="24"/>
  <c r="C3" i="24"/>
  <c r="H6" i="31"/>
  <c r="H22" i="31"/>
  <c r="Q3" i="24"/>
  <c r="E13" i="24"/>
  <c r="H50" i="31"/>
  <c r="H85" i="31"/>
  <c r="K19" i="24"/>
  <c r="C24" i="24"/>
  <c r="H97" i="31"/>
  <c r="Q13" i="24"/>
  <c r="H71" i="31"/>
  <c r="G30" i="24"/>
  <c r="H122" i="31"/>
  <c r="H36" i="31"/>
  <c r="K8" i="24"/>
  <c r="H52" i="31"/>
  <c r="G13" i="24"/>
  <c r="H112" i="31"/>
  <c r="P24" i="24"/>
  <c r="D13" i="31"/>
  <c r="D18" i="31"/>
  <c r="E23" i="31"/>
  <c r="H23" i="31" s="1"/>
  <c r="E51" i="31"/>
  <c r="D81" i="31"/>
  <c r="J8" i="24"/>
  <c r="F19" i="24"/>
  <c r="D24" i="24"/>
  <c r="M24" i="24"/>
  <c r="F6" i="31"/>
  <c r="C5" i="24" s="1"/>
  <c r="F8" i="31"/>
  <c r="E5" i="24" s="1"/>
  <c r="D16" i="31"/>
  <c r="F18" i="31"/>
  <c r="N5" i="24" s="1"/>
  <c r="F34" i="31"/>
  <c r="I10" i="24" s="1"/>
  <c r="F36" i="31"/>
  <c r="K10" i="24" s="1"/>
  <c r="D44" i="31"/>
  <c r="F46" i="31"/>
  <c r="T10" i="24" s="1"/>
  <c r="F69" i="31"/>
  <c r="O16" i="24" s="1"/>
  <c r="F71" i="31"/>
  <c r="Q16" i="24" s="1"/>
  <c r="D79" i="31"/>
  <c r="F81" i="31"/>
  <c r="H21" i="24" s="1"/>
  <c r="F97" i="31"/>
  <c r="C26" i="24" s="1"/>
  <c r="F99" i="31"/>
  <c r="E26" i="24" s="1"/>
  <c r="D107" i="31"/>
  <c r="F109" i="31"/>
  <c r="N26" i="24" s="1"/>
  <c r="D3" i="24"/>
  <c r="D14" i="31"/>
  <c r="E27" i="31"/>
  <c r="H27" i="31" s="1"/>
  <c r="D42" i="31"/>
  <c r="D52" i="31"/>
  <c r="E55" i="31"/>
  <c r="H55" i="31" s="1"/>
  <c r="D77" i="31"/>
  <c r="D87" i="31"/>
  <c r="E90" i="31"/>
  <c r="D105" i="31"/>
  <c r="D115" i="31"/>
  <c r="E24" i="31"/>
  <c r="H24" i="31" s="1"/>
  <c r="F27" i="31"/>
  <c r="C10" i="24" s="1"/>
  <c r="I22" i="24"/>
  <c r="E42" i="24" s="1"/>
  <c r="F55" i="31"/>
  <c r="I16" i="24" s="1"/>
  <c r="D8" i="24"/>
  <c r="H3" i="24"/>
  <c r="J13" i="24"/>
  <c r="B7" i="31"/>
  <c r="E9" i="31"/>
  <c r="H9" i="31" s="1"/>
  <c r="F14" i="31"/>
  <c r="J5" i="24" s="1"/>
  <c r="G27" i="31"/>
  <c r="I6" i="24"/>
  <c r="E36" i="24" s="1"/>
  <c r="E37" i="31"/>
  <c r="F42" i="31"/>
  <c r="P10" i="24" s="1"/>
  <c r="D48" i="31"/>
  <c r="D50" i="31"/>
  <c r="F52" i="31"/>
  <c r="G16" i="24" s="1"/>
  <c r="G55" i="31"/>
  <c r="O11" i="24"/>
  <c r="J38" i="24" s="1"/>
  <c r="E72" i="31"/>
  <c r="D83" i="31"/>
  <c r="D85" i="31"/>
  <c r="G90" i="31"/>
  <c r="B98" i="31"/>
  <c r="C22" i="24" s="1"/>
  <c r="B42" i="24" s="1"/>
  <c r="E100" i="31"/>
  <c r="H100" i="31" s="1"/>
  <c r="D111" i="31"/>
  <c r="D113" i="31"/>
  <c r="D123" i="31"/>
  <c r="H44" i="31"/>
  <c r="H107" i="31"/>
  <c r="S24" i="24"/>
  <c r="D17" i="31"/>
  <c r="D45" i="31"/>
  <c r="D80" i="31"/>
  <c r="D108" i="31"/>
  <c r="E123" i="31"/>
  <c r="D121" i="31"/>
  <c r="D41" i="31"/>
  <c r="D43" i="31"/>
  <c r="D76" i="31"/>
  <c r="D88" i="31"/>
  <c r="E93" i="31"/>
  <c r="D104" i="31"/>
  <c r="D106" i="31"/>
  <c r="D116" i="31"/>
  <c r="E121" i="31"/>
  <c r="D119" i="31"/>
  <c r="D51" i="31"/>
  <c r="H58" i="31"/>
  <c r="D86" i="31"/>
  <c r="D114" i="31"/>
  <c r="E86" i="31"/>
  <c r="E114" i="31"/>
  <c r="H102" i="35"/>
  <c r="H70" i="35"/>
  <c r="H57" i="35"/>
  <c r="H122" i="35"/>
  <c r="H22" i="35"/>
  <c r="H84" i="35"/>
  <c r="H109" i="35"/>
  <c r="H31" i="35"/>
  <c r="H77" i="35"/>
  <c r="D59" i="35"/>
  <c r="H123" i="35"/>
  <c r="D49" i="35"/>
  <c r="D51" i="35"/>
  <c r="D53" i="35"/>
  <c r="D50" i="35"/>
  <c r="D48" i="35"/>
  <c r="D52" i="35"/>
  <c r="D21" i="35"/>
  <c r="D23" i="35"/>
  <c r="D25" i="35"/>
  <c r="D22" i="35"/>
  <c r="D20" i="35"/>
  <c r="D24" i="35"/>
  <c r="H90" i="35"/>
  <c r="H11" i="35"/>
  <c r="D112" i="35"/>
  <c r="D114" i="35"/>
  <c r="D116" i="35"/>
  <c r="D113" i="35"/>
  <c r="D111" i="35"/>
  <c r="D115" i="35"/>
  <c r="D84" i="35"/>
  <c r="D86" i="35"/>
  <c r="D88" i="35"/>
  <c r="D85" i="35"/>
  <c r="D83" i="35"/>
  <c r="D87" i="35"/>
  <c r="H44" i="35"/>
  <c r="D55" i="35"/>
  <c r="D57" i="35"/>
  <c r="D102" i="35"/>
  <c r="D100" i="35"/>
  <c r="H37" i="35"/>
  <c r="D60" i="35"/>
  <c r="D98" i="35"/>
  <c r="D58" i="35"/>
  <c r="H13" i="35"/>
  <c r="H25" i="35"/>
  <c r="D56" i="35"/>
  <c r="D101" i="35"/>
  <c r="H104" i="35"/>
  <c r="H38" i="35"/>
  <c r="D97" i="35"/>
  <c r="O22" i="24"/>
  <c r="J42" i="24" s="1"/>
  <c r="D13" i="24"/>
  <c r="Q19" i="24"/>
  <c r="E8" i="24"/>
  <c r="O17" i="24"/>
  <c r="J40" i="24" s="1"/>
  <c r="C17" i="24"/>
  <c r="B40" i="24" s="1"/>
  <c r="L3" i="24"/>
  <c r="M8" i="24"/>
  <c r="O8" i="24"/>
  <c r="Q8" i="24"/>
  <c r="N13" i="24"/>
  <c r="E19" i="24"/>
  <c r="S13" i="24"/>
  <c r="K3" i="24"/>
  <c r="T19" i="24"/>
  <c r="H13" i="24"/>
  <c r="M3" i="24"/>
  <c r="N24" i="24"/>
  <c r="M13" i="24"/>
  <c r="N8" i="24"/>
  <c r="G19" i="24"/>
  <c r="I11" i="24"/>
  <c r="E38" i="24" s="1"/>
  <c r="C6" i="24"/>
  <c r="B36" i="24" s="1"/>
  <c r="D30" i="24"/>
  <c r="J19" i="24"/>
  <c r="P13" i="24"/>
  <c r="D37" i="54" l="1"/>
  <c r="D36" i="54"/>
  <c r="D116" i="53"/>
  <c r="I17" i="56"/>
  <c r="E40" i="56" s="1"/>
  <c r="D115" i="53"/>
  <c r="D114" i="53"/>
  <c r="D112" i="53"/>
  <c r="H118" i="52"/>
  <c r="D29" i="53"/>
  <c r="D38" i="54"/>
  <c r="D45" i="52"/>
  <c r="D113" i="53"/>
  <c r="D111" i="53"/>
  <c r="D43" i="52"/>
  <c r="D41" i="52"/>
  <c r="D46" i="52"/>
  <c r="O8" i="56"/>
  <c r="D28" i="53"/>
  <c r="Q13" i="56"/>
  <c r="D10" i="54"/>
  <c r="D35" i="54"/>
  <c r="D32" i="53"/>
  <c r="D84" i="51"/>
  <c r="D88" i="51"/>
  <c r="D30" i="53"/>
  <c r="D88" i="52"/>
  <c r="D11" i="54"/>
  <c r="S19" i="59"/>
  <c r="K3" i="57"/>
  <c r="M24" i="58"/>
  <c r="H84" i="54"/>
  <c r="C19" i="59"/>
  <c r="H21" i="52"/>
  <c r="D76" i="54"/>
  <c r="O24" i="57"/>
  <c r="E19" i="59"/>
  <c r="C17" i="59"/>
  <c r="B40" i="59" s="1"/>
  <c r="D49" i="51"/>
  <c r="H13" i="59"/>
  <c r="D81" i="54"/>
  <c r="D50" i="51"/>
  <c r="H37" i="52"/>
  <c r="D78" i="54"/>
  <c r="D9" i="54"/>
  <c r="H36" i="54"/>
  <c r="C8" i="58"/>
  <c r="D44" i="52"/>
  <c r="D42" i="52"/>
  <c r="K13" i="57"/>
  <c r="O13" i="59"/>
  <c r="H119" i="35"/>
  <c r="H46" i="35"/>
  <c r="H123" i="54"/>
  <c r="D8" i="57"/>
  <c r="H120" i="55"/>
  <c r="L3" i="56"/>
  <c r="I19" i="58"/>
  <c r="H83" i="52"/>
  <c r="T13" i="58"/>
  <c r="H41" i="55"/>
  <c r="H24" i="51"/>
  <c r="H27" i="51"/>
  <c r="S24" i="60"/>
  <c r="R19" i="58"/>
  <c r="G24" i="60"/>
  <c r="M8" i="59"/>
  <c r="H93" i="54"/>
  <c r="M3" i="58"/>
  <c r="R8" i="57"/>
  <c r="H118" i="55"/>
  <c r="H106" i="54"/>
  <c r="H9" i="55"/>
  <c r="H76" i="55"/>
  <c r="D39" i="54"/>
  <c r="H85" i="54"/>
  <c r="H97" i="52"/>
  <c r="H30" i="56"/>
  <c r="G19" i="60"/>
  <c r="H111" i="55"/>
  <c r="H99" i="54"/>
  <c r="D8" i="59"/>
  <c r="D8" i="56"/>
  <c r="D114" i="55"/>
  <c r="D98" i="54"/>
  <c r="F19" i="57"/>
  <c r="H116" i="55"/>
  <c r="H80" i="51"/>
  <c r="R24" i="57"/>
  <c r="T13" i="60"/>
  <c r="D22" i="52"/>
  <c r="S24" i="58"/>
  <c r="H23" i="53"/>
  <c r="H36" i="52"/>
  <c r="H86" i="51"/>
  <c r="H59" i="53"/>
  <c r="H72" i="55"/>
  <c r="G30" i="58"/>
  <c r="H53" i="53"/>
  <c r="D77" i="54"/>
  <c r="D6" i="54"/>
  <c r="D53" i="51"/>
  <c r="D51" i="51"/>
  <c r="O11" i="56"/>
  <c r="J38" i="56" s="1"/>
  <c r="H100" i="35"/>
  <c r="H105" i="55"/>
  <c r="H115" i="52"/>
  <c r="G58" i="34"/>
  <c r="D39" i="52"/>
  <c r="D36" i="52"/>
  <c r="I6" i="57"/>
  <c r="E36" i="57" s="1"/>
  <c r="D38" i="52"/>
  <c r="D35" i="52"/>
  <c r="C6" i="58"/>
  <c r="B36" i="58" s="1"/>
  <c r="D34" i="52"/>
  <c r="D116" i="55"/>
  <c r="D7" i="54"/>
  <c r="D23" i="52"/>
  <c r="O22" i="60"/>
  <c r="J42" i="60" s="1"/>
  <c r="D25" i="52"/>
  <c r="O1" i="57"/>
  <c r="J34" i="57" s="1"/>
  <c r="D113" i="55"/>
  <c r="D111" i="55"/>
  <c r="D97" i="54"/>
  <c r="D8" i="54"/>
  <c r="D24" i="52"/>
  <c r="D100" i="54"/>
  <c r="D99" i="54"/>
  <c r="D115" i="55"/>
  <c r="D21" i="52"/>
  <c r="D102" i="54"/>
  <c r="D27" i="53"/>
  <c r="H35" i="55"/>
  <c r="H39" i="55"/>
  <c r="D48" i="37"/>
  <c r="H91" i="35"/>
  <c r="D104" i="38"/>
  <c r="H16" i="55"/>
  <c r="D73" i="51"/>
  <c r="D79" i="54"/>
  <c r="H106" i="52"/>
  <c r="D101" i="54"/>
  <c r="H88" i="35"/>
  <c r="H9" i="35"/>
  <c r="D46" i="54"/>
  <c r="D52" i="51"/>
  <c r="F19" i="60"/>
  <c r="R24" i="58"/>
  <c r="E30" i="58"/>
  <c r="G3" i="59"/>
  <c r="H19" i="59"/>
  <c r="E30" i="56"/>
  <c r="R3" i="56"/>
  <c r="C13" i="58"/>
  <c r="H51" i="52"/>
  <c r="F30" i="56"/>
  <c r="D106" i="38"/>
  <c r="D42" i="54"/>
  <c r="D48" i="51"/>
  <c r="O6" i="59"/>
  <c r="J36" i="59" s="1"/>
  <c r="D74" i="51"/>
  <c r="H98" i="53"/>
  <c r="H52" i="51"/>
  <c r="G56" i="34"/>
  <c r="G57" i="34"/>
  <c r="H60" i="35"/>
  <c r="H101" i="35"/>
  <c r="H35" i="35"/>
  <c r="H42" i="51"/>
  <c r="D85" i="51"/>
  <c r="D83" i="51"/>
  <c r="S13" i="57"/>
  <c r="T19" i="57"/>
  <c r="D86" i="52"/>
  <c r="D84" i="52"/>
  <c r="H18" i="52"/>
  <c r="H59" i="52"/>
  <c r="H41" i="52"/>
  <c r="I17" i="57"/>
  <c r="E40" i="57" s="1"/>
  <c r="D87" i="52"/>
  <c r="I8" i="57"/>
  <c r="H120" i="52"/>
  <c r="D85" i="52"/>
  <c r="H111" i="53"/>
  <c r="H24" i="58"/>
  <c r="H8" i="54"/>
  <c r="G8" i="59"/>
  <c r="H111" i="54"/>
  <c r="F19" i="59"/>
  <c r="H101" i="54"/>
  <c r="D13" i="59"/>
  <c r="C24" i="59"/>
  <c r="G30" i="59"/>
  <c r="H71" i="54"/>
  <c r="H56" i="54"/>
  <c r="P24" i="59"/>
  <c r="H8" i="59"/>
  <c r="H121" i="54"/>
  <c r="P3" i="59"/>
  <c r="N24" i="59"/>
  <c r="M19" i="60"/>
  <c r="H43" i="55"/>
  <c r="H52" i="55"/>
  <c r="P13" i="60"/>
  <c r="I24" i="60"/>
  <c r="H108" i="55"/>
  <c r="O19" i="60"/>
  <c r="H53" i="55"/>
  <c r="H37" i="55"/>
  <c r="Q19" i="60"/>
  <c r="H22" i="55"/>
  <c r="D17" i="55"/>
  <c r="K13" i="60"/>
  <c r="D14" i="55"/>
  <c r="H30" i="60"/>
  <c r="D16" i="55"/>
  <c r="D13" i="55"/>
  <c r="D15" i="55"/>
  <c r="I1" i="60"/>
  <c r="E34" i="60" s="1"/>
  <c r="H25" i="55"/>
  <c r="D104" i="36"/>
  <c r="H15" i="35"/>
  <c r="D108" i="36"/>
  <c r="D123" i="36"/>
  <c r="H6" i="35"/>
  <c r="H111" i="35"/>
  <c r="D121" i="36"/>
  <c r="D119" i="36"/>
  <c r="H113" i="35"/>
  <c r="D16" i="36"/>
  <c r="C8" i="24"/>
  <c r="D116" i="37"/>
  <c r="D92" i="35"/>
  <c r="H120" i="35"/>
  <c r="D13" i="36"/>
  <c r="D90" i="35"/>
  <c r="D72" i="36"/>
  <c r="H99" i="35"/>
  <c r="D50" i="37"/>
  <c r="H48" i="35"/>
  <c r="H16" i="35"/>
  <c r="D14" i="36"/>
  <c r="H106" i="35"/>
  <c r="K24" i="46"/>
  <c r="H60" i="36"/>
  <c r="N13" i="47"/>
  <c r="H114" i="37"/>
  <c r="R24" i="48"/>
  <c r="H113" i="37"/>
  <c r="Q24" i="48"/>
  <c r="H32" i="37"/>
  <c r="H8" i="48"/>
  <c r="H22" i="38"/>
  <c r="Q3" i="49"/>
  <c r="H27" i="38"/>
  <c r="C8" i="49"/>
  <c r="H116" i="38"/>
  <c r="T24" i="49"/>
  <c r="H113" i="55"/>
  <c r="Q24" i="60"/>
  <c r="H95" i="54"/>
  <c r="T19" i="59"/>
  <c r="H51" i="55"/>
  <c r="F13" i="60"/>
  <c r="H91" i="54"/>
  <c r="P19" i="59"/>
  <c r="H8" i="55"/>
  <c r="E3" i="60"/>
  <c r="H121" i="53"/>
  <c r="F30" i="58"/>
  <c r="H11" i="55"/>
  <c r="H3" i="60"/>
  <c r="H60" i="54"/>
  <c r="N13" i="59"/>
  <c r="H77" i="54"/>
  <c r="D19" i="59"/>
  <c r="H11" i="51"/>
  <c r="H3" i="56"/>
  <c r="H101" i="53"/>
  <c r="G24" i="58"/>
  <c r="H107" i="51"/>
  <c r="L24" i="56"/>
  <c r="H118" i="51"/>
  <c r="C30" i="56"/>
  <c r="H113" i="52"/>
  <c r="Q24" i="57"/>
  <c r="H122" i="51"/>
  <c r="G30" i="56"/>
  <c r="H30" i="36"/>
  <c r="F8" i="47"/>
  <c r="H73" i="35"/>
  <c r="S13" i="46"/>
  <c r="H92" i="35"/>
  <c r="Q19" i="46"/>
  <c r="H98" i="36"/>
  <c r="D24" i="47"/>
  <c r="H50" i="36"/>
  <c r="E13" i="47"/>
  <c r="H93" i="37"/>
  <c r="R19" i="48"/>
  <c r="H111" i="37"/>
  <c r="O24" i="48"/>
  <c r="H22" i="37"/>
  <c r="Q3" i="48"/>
  <c r="H99" i="36"/>
  <c r="E24" i="47"/>
  <c r="H37" i="36"/>
  <c r="L8" i="47"/>
  <c r="H41" i="37"/>
  <c r="O8" i="48"/>
  <c r="H116" i="37"/>
  <c r="T24" i="48"/>
  <c r="H114" i="38"/>
  <c r="R24" i="49"/>
  <c r="D30" i="38"/>
  <c r="C6" i="49"/>
  <c r="B36" i="49" s="1"/>
  <c r="H81" i="55"/>
  <c r="H19" i="60"/>
  <c r="H86" i="55"/>
  <c r="L19" i="60"/>
  <c r="H83" i="54"/>
  <c r="I19" i="59"/>
  <c r="H48" i="55"/>
  <c r="C13" i="60"/>
  <c r="H83" i="55"/>
  <c r="I19" i="60"/>
  <c r="H74" i="54"/>
  <c r="T13" i="59"/>
  <c r="H20" i="51"/>
  <c r="O3" i="56"/>
  <c r="H55" i="53"/>
  <c r="I13" i="58"/>
  <c r="H15" i="53"/>
  <c r="K3" i="58"/>
  <c r="H83" i="51"/>
  <c r="I19" i="56"/>
  <c r="H9" i="54"/>
  <c r="F3" i="59"/>
  <c r="H76" i="52"/>
  <c r="C19" i="57"/>
  <c r="H53" i="35"/>
  <c r="H13" i="46"/>
  <c r="H93" i="36"/>
  <c r="R19" i="47"/>
  <c r="H123" i="36"/>
  <c r="H30" i="47"/>
  <c r="H48" i="36"/>
  <c r="C13" i="47"/>
  <c r="H51" i="37"/>
  <c r="F13" i="48"/>
  <c r="H20" i="37"/>
  <c r="O3" i="48"/>
  <c r="H16" i="36"/>
  <c r="L3" i="47"/>
  <c r="D79" i="36"/>
  <c r="C17" i="47"/>
  <c r="B40" i="47" s="1"/>
  <c r="H91" i="36"/>
  <c r="P19" i="47"/>
  <c r="H57" i="37"/>
  <c r="K13" i="48"/>
  <c r="H86" i="38"/>
  <c r="L19" i="49"/>
  <c r="H123" i="38"/>
  <c r="H30" i="49"/>
  <c r="H104" i="38"/>
  <c r="I24" i="49"/>
  <c r="H13" i="38"/>
  <c r="I3" i="49"/>
  <c r="H92" i="54"/>
  <c r="Q19" i="59"/>
  <c r="H50" i="54"/>
  <c r="E13" i="59"/>
  <c r="H39" i="54"/>
  <c r="N8" i="59"/>
  <c r="H91" i="53"/>
  <c r="P19" i="58"/>
  <c r="H86" i="53"/>
  <c r="L19" i="58"/>
  <c r="H111" i="51"/>
  <c r="O24" i="56"/>
  <c r="H69" i="52"/>
  <c r="O13" i="57"/>
  <c r="H77" i="51"/>
  <c r="D19" i="56"/>
  <c r="H58" i="51"/>
  <c r="L13" i="56"/>
  <c r="H22" i="51"/>
  <c r="Q3" i="56"/>
  <c r="H113" i="36"/>
  <c r="Q24" i="47"/>
  <c r="H23" i="37"/>
  <c r="R3" i="48"/>
  <c r="H80" i="37"/>
  <c r="G19" i="48"/>
  <c r="H95" i="37"/>
  <c r="T19" i="48"/>
  <c r="H73" i="36"/>
  <c r="S13" i="47"/>
  <c r="H29" i="37"/>
  <c r="E8" i="48"/>
  <c r="H113" i="38"/>
  <c r="Q24" i="49"/>
  <c r="H37" i="38"/>
  <c r="L8" i="49"/>
  <c r="H51" i="38"/>
  <c r="F13" i="49"/>
  <c r="H52" i="38"/>
  <c r="G13" i="49"/>
  <c r="H78" i="38"/>
  <c r="E19" i="49"/>
  <c r="H7" i="38"/>
  <c r="D3" i="49"/>
  <c r="H45" i="55"/>
  <c r="S8" i="60"/>
  <c r="H77" i="55"/>
  <c r="D19" i="60"/>
  <c r="H41" i="54"/>
  <c r="O8" i="59"/>
  <c r="H52" i="54"/>
  <c r="G13" i="59"/>
  <c r="H105" i="53"/>
  <c r="J24" i="58"/>
  <c r="H105" i="51"/>
  <c r="J24" i="56"/>
  <c r="H74" i="51"/>
  <c r="T13" i="56"/>
  <c r="H90" i="51"/>
  <c r="O19" i="56"/>
  <c r="H87" i="35"/>
  <c r="M19" i="46"/>
  <c r="H108" i="36"/>
  <c r="M24" i="47"/>
  <c r="H108" i="35"/>
  <c r="M24" i="46"/>
  <c r="H41" i="35"/>
  <c r="O8" i="46"/>
  <c r="H59" i="35"/>
  <c r="M13" i="46"/>
  <c r="H95" i="35"/>
  <c r="T19" i="46"/>
  <c r="H7" i="35"/>
  <c r="D3" i="46"/>
  <c r="H78" i="35"/>
  <c r="E19" i="46"/>
  <c r="D76" i="36"/>
  <c r="H80" i="36"/>
  <c r="G19" i="47"/>
  <c r="H111" i="36"/>
  <c r="O24" i="47"/>
  <c r="H32" i="36"/>
  <c r="H8" i="47"/>
  <c r="D114" i="37"/>
  <c r="H85" i="37"/>
  <c r="K19" i="48"/>
  <c r="D113" i="37"/>
  <c r="H94" i="37"/>
  <c r="S19" i="48"/>
  <c r="H31" i="37"/>
  <c r="G8" i="48"/>
  <c r="H69" i="36"/>
  <c r="O13" i="47"/>
  <c r="H42" i="55"/>
  <c r="P8" i="60"/>
  <c r="H27" i="55"/>
  <c r="C8" i="60"/>
  <c r="H97" i="55"/>
  <c r="C24" i="60"/>
  <c r="H123" i="53"/>
  <c r="H30" i="58"/>
  <c r="H102" i="51"/>
  <c r="H24" i="56"/>
  <c r="H73" i="53"/>
  <c r="S13" i="58"/>
  <c r="H85" i="52"/>
  <c r="K19" i="57"/>
  <c r="H55" i="54"/>
  <c r="I13" i="59"/>
  <c r="H32" i="53"/>
  <c r="H8" i="58"/>
  <c r="H81" i="51"/>
  <c r="H19" i="56"/>
  <c r="H51" i="51"/>
  <c r="F13" i="56"/>
  <c r="H118" i="53"/>
  <c r="C30" i="58"/>
  <c r="H50" i="51"/>
  <c r="E13" i="56"/>
  <c r="H23" i="35"/>
  <c r="R3" i="46"/>
  <c r="H114" i="35"/>
  <c r="R24" i="46"/>
  <c r="H112" i="35"/>
  <c r="H83" i="35"/>
  <c r="I19" i="46"/>
  <c r="H107" i="35"/>
  <c r="L24" i="46"/>
  <c r="D121" i="35"/>
  <c r="C28" i="46"/>
  <c r="B44" i="46" s="1"/>
  <c r="H8" i="35"/>
  <c r="E3" i="46"/>
  <c r="H58" i="35"/>
  <c r="L13" i="46"/>
  <c r="H58" i="36"/>
  <c r="L13" i="47"/>
  <c r="H70" i="36"/>
  <c r="P13" i="47"/>
  <c r="H22" i="36"/>
  <c r="Q3" i="47"/>
  <c r="H58" i="37"/>
  <c r="L13" i="48"/>
  <c r="H83" i="37"/>
  <c r="I19" i="48"/>
  <c r="D111" i="37"/>
  <c r="H84" i="37"/>
  <c r="J19" i="48"/>
  <c r="H21" i="37"/>
  <c r="P3" i="48"/>
  <c r="D58" i="36"/>
  <c r="I11" i="47"/>
  <c r="E38" i="47" s="1"/>
  <c r="H95" i="38"/>
  <c r="T19" i="49"/>
  <c r="H100" i="38"/>
  <c r="F24" i="49"/>
  <c r="H9" i="38"/>
  <c r="F3" i="49"/>
  <c r="H23" i="38"/>
  <c r="R3" i="49"/>
  <c r="H44" i="54"/>
  <c r="R8" i="59"/>
  <c r="H99" i="55"/>
  <c r="E24" i="60"/>
  <c r="H120" i="54"/>
  <c r="E30" i="59"/>
  <c r="H107" i="54"/>
  <c r="L24" i="59"/>
  <c r="H23" i="55"/>
  <c r="R3" i="60"/>
  <c r="H18" i="55"/>
  <c r="N3" i="60"/>
  <c r="H20" i="54"/>
  <c r="O3" i="59"/>
  <c r="H13" i="54"/>
  <c r="I3" i="59"/>
  <c r="H41" i="53"/>
  <c r="O8" i="58"/>
  <c r="H71" i="52"/>
  <c r="Q13" i="57"/>
  <c r="H59" i="51"/>
  <c r="M13" i="56"/>
  <c r="H92" i="51"/>
  <c r="Q19" i="56"/>
  <c r="H32" i="51"/>
  <c r="H8" i="56"/>
  <c r="H69" i="35"/>
  <c r="O13" i="46"/>
  <c r="H29" i="35"/>
  <c r="E8" i="46"/>
  <c r="D94" i="35"/>
  <c r="O17" i="46"/>
  <c r="J40" i="46" s="1"/>
  <c r="I13" i="24"/>
  <c r="H121" i="35"/>
  <c r="F30" i="46"/>
  <c r="H94" i="35"/>
  <c r="S19" i="46"/>
  <c r="D31" i="35"/>
  <c r="C6" i="46"/>
  <c r="B36" i="46" s="1"/>
  <c r="H21" i="35"/>
  <c r="P3" i="46"/>
  <c r="H34" i="35"/>
  <c r="I8" i="46"/>
  <c r="H20" i="35"/>
  <c r="O3" i="46"/>
  <c r="H20" i="36"/>
  <c r="O3" i="47"/>
  <c r="D51" i="37"/>
  <c r="D53" i="37"/>
  <c r="H45" i="37"/>
  <c r="S8" i="48"/>
  <c r="H34" i="36"/>
  <c r="I8" i="47"/>
  <c r="H85" i="38"/>
  <c r="K19" i="49"/>
  <c r="H20" i="55"/>
  <c r="O3" i="60"/>
  <c r="H119" i="54"/>
  <c r="D30" i="59"/>
  <c r="H92" i="53"/>
  <c r="Q19" i="58"/>
  <c r="H28" i="53"/>
  <c r="D8" i="58"/>
  <c r="H94" i="51"/>
  <c r="S19" i="56"/>
  <c r="H37" i="53"/>
  <c r="L8" i="58"/>
  <c r="H46" i="51"/>
  <c r="T8" i="56"/>
  <c r="H57" i="53"/>
  <c r="K13" i="58"/>
  <c r="H50" i="35"/>
  <c r="E13" i="46"/>
  <c r="H17" i="35"/>
  <c r="M3" i="46"/>
  <c r="H86" i="35"/>
  <c r="L19" i="46"/>
  <c r="D95" i="35"/>
  <c r="H10" i="35"/>
  <c r="H115" i="35"/>
  <c r="S24" i="46"/>
  <c r="H76" i="35"/>
  <c r="C19" i="46"/>
  <c r="D93" i="35"/>
  <c r="H45" i="36"/>
  <c r="S8" i="47"/>
  <c r="H95" i="36"/>
  <c r="T19" i="47"/>
  <c r="D17" i="36"/>
  <c r="H35" i="37"/>
  <c r="J8" i="48"/>
  <c r="D105" i="36"/>
  <c r="I22" i="47"/>
  <c r="E42" i="47" s="1"/>
  <c r="H109" i="36"/>
  <c r="N24" i="47"/>
  <c r="H76" i="37"/>
  <c r="C19" i="48"/>
  <c r="H121" i="38"/>
  <c r="F30" i="49"/>
  <c r="D109" i="38"/>
  <c r="I22" i="49"/>
  <c r="E42" i="49" s="1"/>
  <c r="H109" i="55"/>
  <c r="N24" i="60"/>
  <c r="H13" i="53"/>
  <c r="I3" i="58"/>
  <c r="H18" i="53"/>
  <c r="N3" i="58"/>
  <c r="H36" i="51"/>
  <c r="K8" i="56"/>
  <c r="H76" i="53"/>
  <c r="C19" i="58"/>
  <c r="H114" i="55"/>
  <c r="R24" i="60"/>
  <c r="H60" i="37"/>
  <c r="N13" i="48"/>
  <c r="H114" i="36"/>
  <c r="R24" i="47"/>
  <c r="H23" i="36"/>
  <c r="R3" i="47"/>
  <c r="H60" i="38"/>
  <c r="N13" i="49"/>
  <c r="D121" i="38"/>
  <c r="C28" i="49"/>
  <c r="B44" i="49" s="1"/>
  <c r="H83" i="38"/>
  <c r="I19" i="49"/>
  <c r="H69" i="55"/>
  <c r="O13" i="60"/>
  <c r="H6" i="55"/>
  <c r="C3" i="60"/>
  <c r="H36" i="55"/>
  <c r="K8" i="60"/>
  <c r="H32" i="55"/>
  <c r="H8" i="60"/>
  <c r="H46" i="55"/>
  <c r="T8" i="60"/>
  <c r="H123" i="52"/>
  <c r="H30" i="57"/>
  <c r="H72" i="51"/>
  <c r="R13" i="56"/>
  <c r="H9" i="53"/>
  <c r="F3" i="58"/>
  <c r="H34" i="51"/>
  <c r="I8" i="56"/>
  <c r="H84" i="51"/>
  <c r="J19" i="56"/>
  <c r="H107" i="52"/>
  <c r="L24" i="57"/>
  <c r="H49" i="35"/>
  <c r="D13" i="46"/>
  <c r="H93" i="35"/>
  <c r="R19" i="46"/>
  <c r="H85" i="36"/>
  <c r="K19" i="47"/>
  <c r="H121" i="37"/>
  <c r="F30" i="48"/>
  <c r="H30" i="37"/>
  <c r="F8" i="48"/>
  <c r="H17" i="37"/>
  <c r="M3" i="48"/>
  <c r="H50" i="37"/>
  <c r="E13" i="48"/>
  <c r="H104" i="36"/>
  <c r="I24" i="47"/>
  <c r="H13" i="36"/>
  <c r="I3" i="47"/>
  <c r="H108" i="37"/>
  <c r="M24" i="48"/>
  <c r="H118" i="37"/>
  <c r="C30" i="48"/>
  <c r="H50" i="38"/>
  <c r="E13" i="49"/>
  <c r="H119" i="55"/>
  <c r="D30" i="60"/>
  <c r="H118" i="54"/>
  <c r="C30" i="59"/>
  <c r="H17" i="55"/>
  <c r="M3" i="60"/>
  <c r="H116" i="54"/>
  <c r="T24" i="59"/>
  <c r="H86" i="54"/>
  <c r="L19" i="59"/>
  <c r="H29" i="55"/>
  <c r="E8" i="60"/>
  <c r="H25" i="53"/>
  <c r="T3" i="58"/>
  <c r="H112" i="52"/>
  <c r="P24" i="57"/>
  <c r="H57" i="51"/>
  <c r="K13" i="56"/>
  <c r="H9" i="52"/>
  <c r="F3" i="57"/>
  <c r="H18" i="51"/>
  <c r="N3" i="56"/>
  <c r="H6" i="52"/>
  <c r="C3" i="57"/>
  <c r="H78" i="52"/>
  <c r="E19" i="57"/>
  <c r="H76" i="51"/>
  <c r="C19" i="56"/>
  <c r="H35" i="36"/>
  <c r="J8" i="47"/>
  <c r="H36" i="35"/>
  <c r="K8" i="46"/>
  <c r="H83" i="36"/>
  <c r="I19" i="47"/>
  <c r="H122" i="37"/>
  <c r="G30" i="48"/>
  <c r="H59" i="37"/>
  <c r="M13" i="48"/>
  <c r="H86" i="37"/>
  <c r="L19" i="48"/>
  <c r="H28" i="36"/>
  <c r="D8" i="47"/>
  <c r="H72" i="38"/>
  <c r="R13" i="49"/>
  <c r="H76" i="38"/>
  <c r="C19" i="49"/>
  <c r="H73" i="54"/>
  <c r="S13" i="59"/>
  <c r="H14" i="55"/>
  <c r="J3" i="60"/>
  <c r="H108" i="54"/>
  <c r="M24" i="59"/>
  <c r="H113" i="54"/>
  <c r="Q24" i="59"/>
  <c r="H71" i="55"/>
  <c r="Q13" i="60"/>
  <c r="H70" i="54"/>
  <c r="P13" i="59"/>
  <c r="H80" i="54"/>
  <c r="G19" i="59"/>
  <c r="H50" i="55"/>
  <c r="E13" i="60"/>
  <c r="H102" i="54"/>
  <c r="H24" i="59"/>
  <c r="H109" i="52"/>
  <c r="N24" i="57"/>
  <c r="H39" i="51"/>
  <c r="N8" i="56"/>
  <c r="H8" i="51"/>
  <c r="E3" i="56"/>
  <c r="H100" i="51"/>
  <c r="F24" i="56"/>
  <c r="H56" i="35"/>
  <c r="J13" i="46"/>
  <c r="H43" i="35"/>
  <c r="Q8" i="46"/>
  <c r="H80" i="35"/>
  <c r="G19" i="46"/>
  <c r="H27" i="35"/>
  <c r="C8" i="46"/>
  <c r="H17" i="36"/>
  <c r="M3" i="47"/>
  <c r="H7" i="37"/>
  <c r="D3" i="48"/>
  <c r="H28" i="35"/>
  <c r="H14" i="35"/>
  <c r="H30" i="35"/>
  <c r="F8" i="46"/>
  <c r="H42" i="35"/>
  <c r="P8" i="46"/>
  <c r="H39" i="35"/>
  <c r="N8" i="46"/>
  <c r="H97" i="35"/>
  <c r="C24" i="46"/>
  <c r="H121" i="36"/>
  <c r="F30" i="47"/>
  <c r="H7" i="36"/>
  <c r="D3" i="47"/>
  <c r="D70" i="36"/>
  <c r="H123" i="37"/>
  <c r="H30" i="48"/>
  <c r="H112" i="37"/>
  <c r="P24" i="48"/>
  <c r="H49" i="37"/>
  <c r="D13" i="48"/>
  <c r="H24" i="36"/>
  <c r="S3" i="47"/>
  <c r="H32" i="38"/>
  <c r="H8" i="49"/>
  <c r="D107" i="38"/>
  <c r="H70" i="38"/>
  <c r="P13" i="49"/>
  <c r="H74" i="38"/>
  <c r="T13" i="49"/>
  <c r="H15" i="38"/>
  <c r="K3" i="49"/>
  <c r="H57" i="54"/>
  <c r="K13" i="59"/>
  <c r="H48" i="54"/>
  <c r="C13" i="59"/>
  <c r="H34" i="55"/>
  <c r="I8" i="60"/>
  <c r="H104" i="54"/>
  <c r="I24" i="59"/>
  <c r="H90" i="54"/>
  <c r="O19" i="59"/>
  <c r="H95" i="53"/>
  <c r="T19" i="58"/>
  <c r="H29" i="51"/>
  <c r="E8" i="56"/>
  <c r="H91" i="52"/>
  <c r="P19" i="57"/>
  <c r="H115" i="51"/>
  <c r="S24" i="56"/>
  <c r="H6" i="51"/>
  <c r="C3" i="56"/>
  <c r="H48" i="51"/>
  <c r="C13" i="56"/>
  <c r="H45" i="54"/>
  <c r="S8" i="59"/>
  <c r="H20" i="53"/>
  <c r="O3" i="58"/>
  <c r="D78" i="53"/>
  <c r="D79" i="53"/>
  <c r="D76" i="53"/>
  <c r="D81" i="53"/>
  <c r="D77" i="53"/>
  <c r="D80" i="53"/>
  <c r="D39" i="55"/>
  <c r="D36" i="55"/>
  <c r="D38" i="55"/>
  <c r="D35" i="55"/>
  <c r="D37" i="55"/>
  <c r="D34" i="55"/>
  <c r="D57" i="53"/>
  <c r="D58" i="53"/>
  <c r="D60" i="53"/>
  <c r="D56" i="53"/>
  <c r="D59" i="53"/>
  <c r="D55" i="53"/>
  <c r="D60" i="54"/>
  <c r="D57" i="54"/>
  <c r="D59" i="54"/>
  <c r="D56" i="54"/>
  <c r="D58" i="54"/>
  <c r="D55" i="54"/>
  <c r="D94" i="55"/>
  <c r="D91" i="55"/>
  <c r="D95" i="55"/>
  <c r="D90" i="55"/>
  <c r="D93" i="55"/>
  <c r="D92" i="55"/>
  <c r="D105" i="54"/>
  <c r="D109" i="54"/>
  <c r="D108" i="54"/>
  <c r="D107" i="54"/>
  <c r="D106" i="54"/>
  <c r="D104" i="54"/>
  <c r="D58" i="51"/>
  <c r="D60" i="51"/>
  <c r="D56" i="51"/>
  <c r="D59" i="51"/>
  <c r="D55" i="51"/>
  <c r="D57" i="51"/>
  <c r="D78" i="52"/>
  <c r="D76" i="52"/>
  <c r="D81" i="52"/>
  <c r="D80" i="52"/>
  <c r="D77" i="52"/>
  <c r="D79" i="52"/>
  <c r="D31" i="55"/>
  <c r="D32" i="55"/>
  <c r="D28" i="55"/>
  <c r="D30" i="55"/>
  <c r="D29" i="55"/>
  <c r="D27" i="55"/>
  <c r="D41" i="53"/>
  <c r="D44" i="53"/>
  <c r="D46" i="53"/>
  <c r="D42" i="53"/>
  <c r="D45" i="53"/>
  <c r="D43" i="53"/>
  <c r="D30" i="52"/>
  <c r="D29" i="52"/>
  <c r="D32" i="52"/>
  <c r="D27" i="52"/>
  <c r="D31" i="52"/>
  <c r="D28" i="52"/>
  <c r="D121" i="54"/>
  <c r="D118" i="54"/>
  <c r="D123" i="54"/>
  <c r="D120" i="54"/>
  <c r="D119" i="54"/>
  <c r="D122" i="54"/>
  <c r="D91" i="51"/>
  <c r="D95" i="51"/>
  <c r="D90" i="51"/>
  <c r="D92" i="51"/>
  <c r="D93" i="51"/>
  <c r="D94" i="51"/>
  <c r="D59" i="55"/>
  <c r="D60" i="55"/>
  <c r="D56" i="55"/>
  <c r="D58" i="55"/>
  <c r="D55" i="55"/>
  <c r="D57" i="55"/>
  <c r="D93" i="54"/>
  <c r="D90" i="54"/>
  <c r="D95" i="54"/>
  <c r="D92" i="54"/>
  <c r="D91" i="54"/>
  <c r="D94" i="54"/>
  <c r="D14" i="54"/>
  <c r="D18" i="54"/>
  <c r="D17" i="54"/>
  <c r="D15" i="54"/>
  <c r="D13" i="54"/>
  <c r="D16" i="54"/>
  <c r="D14" i="53"/>
  <c r="D15" i="53"/>
  <c r="D16" i="53"/>
  <c r="D13" i="53"/>
  <c r="D18" i="53"/>
  <c r="D17" i="53"/>
  <c r="D22" i="53"/>
  <c r="D20" i="53"/>
  <c r="D25" i="53"/>
  <c r="D24" i="53"/>
  <c r="D23" i="53"/>
  <c r="D21" i="53"/>
  <c r="D29" i="54"/>
  <c r="D30" i="54"/>
  <c r="D32" i="54"/>
  <c r="D28" i="54"/>
  <c r="D31" i="54"/>
  <c r="D27" i="54"/>
  <c r="D84" i="55"/>
  <c r="D88" i="55"/>
  <c r="D85" i="55"/>
  <c r="D83" i="55"/>
  <c r="D87" i="55"/>
  <c r="D86" i="55"/>
  <c r="D99" i="55"/>
  <c r="D97" i="55"/>
  <c r="D101" i="55"/>
  <c r="D98" i="55"/>
  <c r="D100" i="55"/>
  <c r="D102" i="55"/>
  <c r="D105" i="52"/>
  <c r="D107" i="52"/>
  <c r="D109" i="52"/>
  <c r="D104" i="52"/>
  <c r="D106" i="52"/>
  <c r="D108" i="52"/>
  <c r="D17" i="52"/>
  <c r="D13" i="52"/>
  <c r="D16" i="52"/>
  <c r="D18" i="52"/>
  <c r="D15" i="52"/>
  <c r="D14" i="52"/>
  <c r="D30" i="51"/>
  <c r="D32" i="51"/>
  <c r="D31" i="51"/>
  <c r="D28" i="51"/>
  <c r="D27" i="51"/>
  <c r="D29" i="51"/>
  <c r="D120" i="53"/>
  <c r="D118" i="53"/>
  <c r="D119" i="53"/>
  <c r="D121" i="53"/>
  <c r="D123" i="53"/>
  <c r="D122" i="53"/>
  <c r="D49" i="55"/>
  <c r="D53" i="55"/>
  <c r="D50" i="55"/>
  <c r="D48" i="55"/>
  <c r="D52" i="55"/>
  <c r="D51" i="55"/>
  <c r="D81" i="51"/>
  <c r="D76" i="51"/>
  <c r="D78" i="51"/>
  <c r="D80" i="51"/>
  <c r="D79" i="51"/>
  <c r="D77" i="51"/>
  <c r="D21" i="55"/>
  <c r="D25" i="55"/>
  <c r="D22" i="55"/>
  <c r="D20" i="55"/>
  <c r="D24" i="55"/>
  <c r="D23" i="55"/>
  <c r="D113" i="52"/>
  <c r="D116" i="52"/>
  <c r="D115" i="52"/>
  <c r="D112" i="52"/>
  <c r="D114" i="52"/>
  <c r="D111" i="52"/>
  <c r="D106" i="51"/>
  <c r="D108" i="51"/>
  <c r="D109" i="51"/>
  <c r="D104" i="51"/>
  <c r="D105" i="51"/>
  <c r="D107" i="51"/>
  <c r="D70" i="55"/>
  <c r="D74" i="55"/>
  <c r="D71" i="55"/>
  <c r="D73" i="55"/>
  <c r="D69" i="55"/>
  <c r="D72" i="55"/>
  <c r="D24" i="54"/>
  <c r="D21" i="54"/>
  <c r="D20" i="54"/>
  <c r="D23" i="54"/>
  <c r="D22" i="54"/>
  <c r="D25" i="54"/>
  <c r="D49" i="52"/>
  <c r="D51" i="52"/>
  <c r="D53" i="52"/>
  <c r="D48" i="52"/>
  <c r="D52" i="52"/>
  <c r="D50" i="52"/>
  <c r="D101" i="52"/>
  <c r="D98" i="52"/>
  <c r="D100" i="52"/>
  <c r="D97" i="52"/>
  <c r="D99" i="52"/>
  <c r="D102" i="52"/>
  <c r="D119" i="35"/>
  <c r="D118" i="35"/>
  <c r="R3" i="24"/>
  <c r="H79" i="35"/>
  <c r="D119" i="38"/>
  <c r="D32" i="38"/>
  <c r="D28" i="38"/>
  <c r="D105" i="38"/>
  <c r="F3" i="24"/>
  <c r="H62" i="31"/>
  <c r="H118" i="38"/>
  <c r="D122" i="38"/>
  <c r="D118" i="38"/>
  <c r="D120" i="38"/>
  <c r="H108" i="38"/>
  <c r="H90" i="38"/>
  <c r="D31" i="38"/>
  <c r="D29" i="38"/>
  <c r="D27" i="38"/>
  <c r="D36" i="38"/>
  <c r="D34" i="38"/>
  <c r="D38" i="38"/>
  <c r="D37" i="38"/>
  <c r="D35" i="38"/>
  <c r="D39" i="38"/>
  <c r="D99" i="38"/>
  <c r="D97" i="38"/>
  <c r="D101" i="38"/>
  <c r="D102" i="38"/>
  <c r="D98" i="38"/>
  <c r="D100" i="38"/>
  <c r="D8" i="38"/>
  <c r="D6" i="38"/>
  <c r="D11" i="38"/>
  <c r="D10" i="38"/>
  <c r="D7" i="38"/>
  <c r="D9" i="38"/>
  <c r="D21" i="38"/>
  <c r="D25" i="38"/>
  <c r="D23" i="38"/>
  <c r="D22" i="38"/>
  <c r="D20" i="38"/>
  <c r="D24" i="38"/>
  <c r="D71" i="38"/>
  <c r="D69" i="38"/>
  <c r="D73" i="38"/>
  <c r="D72" i="38"/>
  <c r="D70" i="38"/>
  <c r="D74" i="38"/>
  <c r="H104" i="37"/>
  <c r="H107" i="37"/>
  <c r="D112" i="37"/>
  <c r="D115" i="37"/>
  <c r="D49" i="37"/>
  <c r="D52" i="37"/>
  <c r="D73" i="36"/>
  <c r="D71" i="36"/>
  <c r="D69" i="36"/>
  <c r="D74" i="36"/>
  <c r="H44" i="36"/>
  <c r="D56" i="36"/>
  <c r="D60" i="36"/>
  <c r="D57" i="36"/>
  <c r="D55" i="36"/>
  <c r="D59" i="36"/>
  <c r="D78" i="36"/>
  <c r="D81" i="36"/>
  <c r="D15" i="36"/>
  <c r="D18" i="36"/>
  <c r="D122" i="36"/>
  <c r="D118" i="36"/>
  <c r="D120" i="36"/>
  <c r="D106" i="36"/>
  <c r="D109" i="36"/>
  <c r="D80" i="36"/>
  <c r="D77" i="36"/>
  <c r="H72" i="36"/>
  <c r="H70" i="37"/>
  <c r="D100" i="37"/>
  <c r="D97" i="37"/>
  <c r="D101" i="37"/>
  <c r="D98" i="37"/>
  <c r="D102" i="37"/>
  <c r="D99" i="37"/>
  <c r="H48" i="37"/>
  <c r="D36" i="37"/>
  <c r="D34" i="37"/>
  <c r="D37" i="37"/>
  <c r="D38" i="37"/>
  <c r="D35" i="37"/>
  <c r="D39" i="37"/>
  <c r="D6" i="37"/>
  <c r="D10" i="37"/>
  <c r="D7" i="37"/>
  <c r="D11" i="37"/>
  <c r="D8" i="37"/>
  <c r="D9" i="37"/>
  <c r="H98" i="37"/>
  <c r="D21" i="36"/>
  <c r="D23" i="36"/>
  <c r="D25" i="36"/>
  <c r="D22" i="36"/>
  <c r="D20" i="36"/>
  <c r="D24" i="36"/>
  <c r="H120" i="36"/>
  <c r="H55" i="35"/>
  <c r="D32" i="35"/>
  <c r="D29" i="35"/>
  <c r="D30" i="35"/>
  <c r="D27" i="35"/>
  <c r="D28" i="35"/>
  <c r="H72" i="31"/>
  <c r="R13" i="24"/>
  <c r="C1" i="24"/>
  <c r="B34" i="24" s="1"/>
  <c r="D8" i="31"/>
  <c r="D6" i="31"/>
  <c r="D10" i="31"/>
  <c r="D7" i="31"/>
  <c r="D9" i="31"/>
  <c r="D11" i="31"/>
  <c r="D71" i="31"/>
  <c r="D69" i="31"/>
  <c r="D73" i="31"/>
  <c r="D70" i="31"/>
  <c r="D74" i="31"/>
  <c r="D72" i="31"/>
  <c r="H93" i="31"/>
  <c r="R19" i="24"/>
  <c r="R24" i="24"/>
  <c r="H114" i="31"/>
  <c r="L19" i="24"/>
  <c r="H86" i="31"/>
  <c r="F13" i="24"/>
  <c r="H51" i="31"/>
  <c r="S3" i="24"/>
  <c r="F24" i="24"/>
  <c r="D21" i="31"/>
  <c r="D23" i="31"/>
  <c r="D25" i="31"/>
  <c r="D22" i="31"/>
  <c r="D20" i="31"/>
  <c r="D24" i="31"/>
  <c r="O1" i="24"/>
  <c r="J34" i="24" s="1"/>
  <c r="H37" i="31"/>
  <c r="L8" i="24"/>
  <c r="H125" i="31"/>
  <c r="H123" i="31"/>
  <c r="H126" i="31" s="1"/>
  <c r="H30" i="24"/>
  <c r="D99" i="31"/>
  <c r="D97" i="31"/>
  <c r="D101" i="31"/>
  <c r="D98" i="31"/>
  <c r="D100" i="31"/>
  <c r="D102" i="31"/>
  <c r="D36" i="31"/>
  <c r="D34" i="31"/>
  <c r="D38" i="31"/>
  <c r="D35" i="31"/>
  <c r="D39" i="31"/>
  <c r="D37" i="31"/>
  <c r="H121" i="31"/>
  <c r="F30" i="24"/>
  <c r="O19" i="24"/>
  <c r="H90" i="31"/>
  <c r="D120" i="35"/>
  <c r="D123" i="35"/>
  <c r="H105" i="35"/>
  <c r="D99" i="35"/>
  <c r="D122" i="35"/>
  <c r="D109" i="35"/>
  <c r="D106" i="35"/>
  <c r="D104" i="35"/>
  <c r="D108" i="35"/>
  <c r="D105" i="35"/>
  <c r="D107" i="35"/>
  <c r="H72" i="35"/>
  <c r="D71" i="35"/>
  <c r="D69" i="35"/>
  <c r="D73" i="35"/>
  <c r="D70" i="35"/>
  <c r="D72" i="35"/>
  <c r="D74" i="35"/>
  <c r="D46" i="35"/>
  <c r="D43" i="35"/>
  <c r="D41" i="35"/>
  <c r="D45" i="35"/>
  <c r="D42" i="35"/>
  <c r="D44" i="35"/>
  <c r="D8" i="35"/>
  <c r="D6" i="35"/>
  <c r="D10" i="35"/>
  <c r="D7" i="35"/>
  <c r="D9" i="35"/>
  <c r="D11" i="35"/>
  <c r="D18" i="35"/>
  <c r="D13" i="35"/>
  <c r="D15" i="35"/>
  <c r="D17" i="35"/>
  <c r="D14" i="35"/>
  <c r="D16" i="35"/>
  <c r="D36" i="35"/>
  <c r="D34" i="35"/>
  <c r="D38" i="35"/>
  <c r="D35" i="35"/>
  <c r="D37" i="35"/>
  <c r="D39" i="35"/>
  <c r="D81" i="35"/>
  <c r="D78" i="35"/>
  <c r="D76" i="35"/>
  <c r="D80" i="35"/>
  <c r="D77" i="35"/>
  <c r="D79" i="35"/>
  <c r="H62" i="53" l="1"/>
  <c r="H124" i="52"/>
  <c r="H62" i="51"/>
  <c r="H125" i="52"/>
  <c r="H63" i="53"/>
  <c r="H125" i="36"/>
  <c r="H126" i="55"/>
  <c r="H126" i="53"/>
  <c r="H126" i="51"/>
  <c r="H62" i="54"/>
  <c r="H62" i="38"/>
  <c r="H126" i="35"/>
  <c r="H124" i="53"/>
  <c r="H63" i="54"/>
  <c r="H125" i="53"/>
  <c r="H62" i="52"/>
  <c r="H125" i="54"/>
  <c r="H61" i="52"/>
  <c r="H124" i="51"/>
  <c r="H61" i="53"/>
  <c r="H62" i="36"/>
  <c r="H62" i="55"/>
  <c r="H126" i="38"/>
  <c r="H61" i="54"/>
  <c r="H63" i="35"/>
  <c r="H124" i="54"/>
  <c r="H63" i="55"/>
  <c r="H126" i="36"/>
  <c r="H125" i="51"/>
  <c r="H124" i="55"/>
  <c r="H61" i="35"/>
  <c r="H63" i="38"/>
  <c r="H63" i="37"/>
  <c r="H126" i="52"/>
  <c r="H63" i="51"/>
  <c r="H126" i="54"/>
  <c r="H61" i="55"/>
  <c r="H126" i="37"/>
  <c r="H63" i="52"/>
  <c r="H125" i="35"/>
  <c r="H125" i="55"/>
  <c r="H61" i="51"/>
  <c r="H61" i="37"/>
  <c r="H124" i="38"/>
  <c r="H124" i="35"/>
  <c r="H125" i="37"/>
  <c r="H61" i="31"/>
  <c r="H61" i="38"/>
  <c r="H61" i="36"/>
  <c r="H62" i="37"/>
  <c r="H124" i="31"/>
  <c r="H125" i="38"/>
  <c r="H124" i="36"/>
  <c r="H63" i="36"/>
  <c r="H124" i="37"/>
  <c r="H63" i="31"/>
  <c r="H62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5E7F94-DF4B-4B39-9B36-51DC441E4708}" keepAlive="1" name="Query - Color Lookup" description="Connection to the 'Color Lookup' query in the workbook." type="5" refreshedVersion="8" background="1" refreshOnLoad="1" saveData="1">
    <dbPr connection="Provider=Microsoft.Mashup.OleDb.1;Data Source=$Workbook$;Location=&quot;Color Lookup&quot;;Extended Properties=&quot;&quot;" command="SELECT * FROM [Color Lookup]"/>
  </connection>
  <connection id="2" xr16:uid="{395FA87F-88AB-41E5-9EED-4A07701C9888}" keepAlive="1" name="Query - Fixture Types" description="Connection to the 'Fixture Types' query in the workbook." type="5" refreshedVersion="8" background="1" saveData="1">
    <dbPr connection="Provider=Microsoft.Mashup.OleDb.1;Data Source=$Workbook$;Location=&quot;Fixture Types&quot;;Extended Properties=&quot;&quot;" command="SELECT * FROM [Fixture Types]"/>
  </connection>
  <connection id="3" xr16:uid="{C4A2D387-10DF-4385-82AF-E35AF3A8548E}" keepAlive="1" name="Query - Power Patch" description="Connection to the 'Power Patch' query in the workbook." type="5" refreshedVersion="8" background="1" saveData="1">
    <dbPr connection="Provider=Microsoft.Mashup.OleDb.1;Data Source=$Workbook$;Location=&quot;Power Patch&quot;;Extended Properties=&quot;&quot;" command="SELECT * FROM [Power Patc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<sst xmlns="http://schemas.openxmlformats.org/spreadsheetml/2006/main" count="984" uniqueCount="246">
  <si>
    <t>SHOW</t>
  </si>
  <si>
    <t>CHL</t>
  </si>
  <si>
    <t>CIRCUT</t>
  </si>
  <si>
    <t>FIXTURE</t>
  </si>
  <si>
    <t>FIX. NO.</t>
  </si>
  <si>
    <t>LOCATION</t>
  </si>
  <si>
    <t>AMPS</t>
  </si>
  <si>
    <t>AMPS PER PHASE 1</t>
  </si>
  <si>
    <t>AMPS PER PHASE 2</t>
  </si>
  <si>
    <t>AMPS PER PHASE 3</t>
  </si>
  <si>
    <t>Moving Light List</t>
  </si>
  <si>
    <t>Conventionals List</t>
  </si>
  <si>
    <t>Active Moving Lights</t>
  </si>
  <si>
    <t xml:space="preserve">Active Conventionals </t>
  </si>
  <si>
    <t>FIXTURES</t>
  </si>
  <si>
    <t>Fixtures</t>
  </si>
  <si>
    <t>Amps</t>
  </si>
  <si>
    <t>Fixture</t>
  </si>
  <si>
    <t>ETC Source 4 Jnr</t>
  </si>
  <si>
    <t>MAC Viper AFX</t>
  </si>
  <si>
    <t xml:space="preserve">ETC Source 4 </t>
  </si>
  <si>
    <t xml:space="preserve">ETC Source 4 PAR </t>
  </si>
  <si>
    <t xml:space="preserve">PAR 56 </t>
  </si>
  <si>
    <t>PAR 56 Ray</t>
  </si>
  <si>
    <t>PAR 64 ACL</t>
  </si>
  <si>
    <t>PAR 64 ACL BO4</t>
  </si>
  <si>
    <t>PAR 64 Ray</t>
  </si>
  <si>
    <t xml:space="preserve">PAR 64 Ray BO4  </t>
  </si>
  <si>
    <t>PAR 64</t>
  </si>
  <si>
    <t>PAR 64 BO4</t>
  </si>
  <si>
    <t>PAR 64 BO6</t>
  </si>
  <si>
    <t>Mole - Duet</t>
  </si>
  <si>
    <t>Mole - 4lite</t>
  </si>
  <si>
    <t>GLP X4</t>
  </si>
  <si>
    <t>Mole - 4lite (A)</t>
  </si>
  <si>
    <t>Mole - 4lite (B)</t>
  </si>
  <si>
    <t>Mole - 8lite (A)</t>
  </si>
  <si>
    <t>Mole - 8lite (B)</t>
  </si>
  <si>
    <t>Mole - 8lite (C)</t>
  </si>
  <si>
    <t>Mole - 8lite (D)</t>
  </si>
  <si>
    <t>1KW Castor</t>
  </si>
  <si>
    <t>2KW Castor</t>
  </si>
  <si>
    <t>PRG Best Boy HP</t>
  </si>
  <si>
    <t>PRG BAD BOY</t>
  </si>
  <si>
    <t>PRG BAD BOY GC</t>
  </si>
  <si>
    <t>JEM AF1 DMX Fan</t>
  </si>
  <si>
    <t>SHOW:</t>
  </si>
  <si>
    <t>MULTI</t>
  </si>
  <si>
    <t>TYPE</t>
  </si>
  <si>
    <t>FIXTURE #</t>
  </si>
  <si>
    <t>GLP X4 Bar20</t>
  </si>
  <si>
    <t>DF50 Haze</t>
  </si>
  <si>
    <t>Unique Haze</t>
  </si>
  <si>
    <t xml:space="preserve">MDG </t>
  </si>
  <si>
    <t>GLP X4 x2</t>
  </si>
  <si>
    <t>GLP X4 x3</t>
  </si>
  <si>
    <t>SMOKE</t>
  </si>
  <si>
    <t xml:space="preserve">Location </t>
  </si>
  <si>
    <t>Line#</t>
  </si>
  <si>
    <t>Buffer</t>
  </si>
  <si>
    <t>Location</t>
  </si>
  <si>
    <t>Type</t>
  </si>
  <si>
    <t>Patch</t>
  </si>
  <si>
    <t>Sneak Snake Assignments</t>
  </si>
  <si>
    <t>DMX Patch</t>
  </si>
  <si>
    <t>Source</t>
  </si>
  <si>
    <t>Uni</t>
  </si>
  <si>
    <t>Notes</t>
  </si>
  <si>
    <t>Loom ID</t>
  </si>
  <si>
    <t>DMX</t>
  </si>
  <si>
    <t>B:  RACK#</t>
  </si>
  <si>
    <t>GLP JDC 1</t>
  </si>
  <si>
    <t>RACK#</t>
  </si>
  <si>
    <t xml:space="preserve">  RACK#</t>
  </si>
  <si>
    <t>**Cut on red lines</t>
  </si>
  <si>
    <t>MAC AuraXB</t>
  </si>
  <si>
    <t>MAC AuraXB x 2</t>
  </si>
  <si>
    <t>MAC Viper Profile</t>
  </si>
  <si>
    <t>MAC Viper Performance</t>
  </si>
  <si>
    <t>MAC Quantum Wash x2</t>
  </si>
  <si>
    <t>MAC Quantum Wash</t>
  </si>
  <si>
    <t>MAC AuraXB x 3</t>
  </si>
  <si>
    <t>MAC AuraXB x 4</t>
  </si>
  <si>
    <t>GLP X4 Bar20 x 3</t>
  </si>
  <si>
    <t>GLP X4 Bar20 x 2</t>
  </si>
  <si>
    <t xml:space="preserve">GLP X4 Bar10 </t>
  </si>
  <si>
    <t xml:space="preserve">GLP X4 Bar10 x 2 </t>
  </si>
  <si>
    <t xml:space="preserve">GLP X4 Bar10 x 3 </t>
  </si>
  <si>
    <t>GLP X4 Bar10 x 4</t>
  </si>
  <si>
    <t xml:space="preserve">GLP X4 Bar10 x 5 </t>
  </si>
  <si>
    <t>MAC Viper Wash DX</t>
  </si>
  <si>
    <t>GLP JDC 1 x 2</t>
  </si>
  <si>
    <t>Ayrton Domino</t>
  </si>
  <si>
    <t>Ayrton Perseo</t>
  </si>
  <si>
    <t>Ayrton Perseo x 2</t>
  </si>
  <si>
    <t>CP Scenious Unico</t>
  </si>
  <si>
    <t>CP Sharpy Wash</t>
  </si>
  <si>
    <t>CP Sharpy</t>
  </si>
  <si>
    <t>CP Sharpy x 2</t>
  </si>
  <si>
    <t>CP Sharpy x 3</t>
  </si>
  <si>
    <t>CP Sharpy Wash x 2</t>
  </si>
  <si>
    <t>CP Mythos</t>
  </si>
  <si>
    <t>CP Mythos x 2</t>
  </si>
  <si>
    <t>TMB Solaris Flare</t>
  </si>
  <si>
    <t>TMB Solaris Flare x 2</t>
  </si>
  <si>
    <t>TMB Solaris Flare Q+</t>
  </si>
  <si>
    <t>TMB Solaris Flare Q+ x2</t>
  </si>
  <si>
    <t>Chauvet Strike M</t>
  </si>
  <si>
    <t>Chauvet Strike M x 2</t>
  </si>
  <si>
    <t>Chauvet Strike M x 3</t>
  </si>
  <si>
    <t>CP Xtylos</t>
  </si>
  <si>
    <t>CP Xtylos x 2</t>
  </si>
  <si>
    <t>CP Xtylos x 3</t>
  </si>
  <si>
    <t>Robe BMFL Blade</t>
  </si>
  <si>
    <t>Robe Camera</t>
  </si>
  <si>
    <t>Elation SixBar</t>
  </si>
  <si>
    <t>Elation SixBar x 2</t>
  </si>
  <si>
    <t>Elation SixBar x 4</t>
  </si>
  <si>
    <t>Elation SixBar x 3</t>
  </si>
  <si>
    <t>EK Blinder II</t>
  </si>
  <si>
    <t>EK Blinder II x 2</t>
  </si>
  <si>
    <t>EK Blinder II x 4</t>
  </si>
  <si>
    <t>EK Blinder II x 6</t>
  </si>
  <si>
    <t>Acme Pixelline IP</t>
  </si>
  <si>
    <t>Acme Pixelline IP x 2</t>
  </si>
  <si>
    <t>Acme Pixelline IP x 3</t>
  </si>
  <si>
    <t>Ayrton Perseo x 3</t>
  </si>
  <si>
    <t>PRG GC T/BOX</t>
  </si>
  <si>
    <t>Rack Number</t>
  </si>
  <si>
    <t>Rack Outlet Number</t>
  </si>
  <si>
    <t>Multi Name</t>
  </si>
  <si>
    <t>Patch Outlet</t>
  </si>
  <si>
    <t>Fixture Type</t>
  </si>
  <si>
    <t>Fixture Number</t>
  </si>
  <si>
    <t>Combined Rack Number and Outlet</t>
  </si>
  <si>
    <t>Lookup Value</t>
  </si>
  <si>
    <t>Multicore Name</t>
  </si>
  <si>
    <t>Color</t>
  </si>
  <si>
    <t>Untitled Show</t>
  </si>
  <si>
    <t>Unf*ckingbelievable that you have to do this just to get a relative path</t>
  </si>
  <si>
    <t>name</t>
  </si>
  <si>
    <t>value</t>
  </si>
  <si>
    <t>comment</t>
  </si>
  <si>
    <t>cwd</t>
  </si>
  <si>
    <t>phase_reference_data.xlsx</t>
  </si>
  <si>
    <t>filename</t>
  </si>
  <si>
    <t>template_file_version</t>
  </si>
  <si>
    <t>Tracks if template files are being correctly updated in the assetBundle.</t>
  </si>
  <si>
    <t>Template Changelog</t>
  </si>
  <si>
    <t>Version</t>
  </si>
  <si>
    <t>Changes</t>
  </si>
  <si>
    <t>Adjusted Conditional Formatting Ranges to improve performance</t>
  </si>
  <si>
    <t>Implemented Custom Rack assignment</t>
  </si>
  <si>
    <t>NAME / TYPE</t>
  </si>
  <si>
    <t>Rack Name</t>
  </si>
  <si>
    <t>Rack Type</t>
  </si>
  <si>
    <t>DSB1</t>
  </si>
  <si>
    <t>red</t>
  </si>
  <si>
    <t>DSB2</t>
  </si>
  <si>
    <t>DSB3</t>
  </si>
  <si>
    <t>DSB4</t>
  </si>
  <si>
    <t>DSS1</t>
  </si>
  <si>
    <t>DSS2</t>
  </si>
  <si>
    <t>MDS1</t>
  </si>
  <si>
    <t>white</t>
  </si>
  <si>
    <t>MDS2</t>
  </si>
  <si>
    <t>MUS1</t>
  </si>
  <si>
    <t>MUS2</t>
  </si>
  <si>
    <t>US1</t>
  </si>
  <si>
    <t>blue</t>
  </si>
  <si>
    <t>US2</t>
  </si>
  <si>
    <t>USS</t>
  </si>
  <si>
    <t>SRW1</t>
  </si>
  <si>
    <t>orange</t>
  </si>
  <si>
    <t>SRW2</t>
  </si>
  <si>
    <t>SLW1</t>
  </si>
  <si>
    <t>yellow</t>
  </si>
  <si>
    <t>SLW2</t>
  </si>
  <si>
    <t>SRWF</t>
  </si>
  <si>
    <t>grey</t>
  </si>
  <si>
    <t>DSR</t>
  </si>
  <si>
    <t>THR1</t>
  </si>
  <si>
    <t>THR2</t>
  </si>
  <si>
    <t>THR3</t>
  </si>
  <si>
    <t>THR4</t>
  </si>
  <si>
    <t>DSL</t>
  </si>
  <si>
    <t>SLWF</t>
  </si>
  <si>
    <t>SRL1</t>
  </si>
  <si>
    <t>SRL2</t>
  </si>
  <si>
    <t>SRL3</t>
  </si>
  <si>
    <t>SRL4</t>
  </si>
  <si>
    <t>SLL1</t>
  </si>
  <si>
    <t>SLL2</t>
  </si>
  <si>
    <t>SLL3</t>
  </si>
  <si>
    <t>SLL4</t>
  </si>
  <si>
    <t>V1.1</t>
  </si>
  <si>
    <t>V1.2</t>
  </si>
  <si>
    <t>V2.1</t>
  </si>
  <si>
    <t>V2.2</t>
  </si>
  <si>
    <t>V3.1</t>
  </si>
  <si>
    <t>V3.2</t>
  </si>
  <si>
    <t>SR WALL1</t>
  </si>
  <si>
    <t>SR WALL2</t>
  </si>
  <si>
    <t>SL WALL1</t>
  </si>
  <si>
    <t>SL WALL2</t>
  </si>
  <si>
    <t>USRF</t>
  </si>
  <si>
    <t>USLF</t>
  </si>
  <si>
    <t>USF1</t>
  </si>
  <si>
    <t>USF2</t>
  </si>
  <si>
    <t>USF3</t>
  </si>
  <si>
    <t>US ATMOS</t>
  </si>
  <si>
    <t>OFF</t>
  </si>
  <si>
    <t>D1.1</t>
  </si>
  <si>
    <t>green</t>
  </si>
  <si>
    <t>D1.2</t>
  </si>
  <si>
    <t>D1.3</t>
  </si>
  <si>
    <t>D1.4</t>
  </si>
  <si>
    <t>D1.5</t>
  </si>
  <si>
    <t>D1.6</t>
  </si>
  <si>
    <t>D2.1</t>
  </si>
  <si>
    <t>D2.2</t>
  </si>
  <si>
    <t>D2.3</t>
  </si>
  <si>
    <t>D2.4</t>
  </si>
  <si>
    <t>D2.5</t>
  </si>
  <si>
    <t>D2.6</t>
  </si>
  <si>
    <t>D3.1</t>
  </si>
  <si>
    <t>D3.2</t>
  </si>
  <si>
    <t>D3.3</t>
  </si>
  <si>
    <t>D3.4</t>
  </si>
  <si>
    <t>D3.5</t>
  </si>
  <si>
    <t>D3.6</t>
  </si>
  <si>
    <t>D4.1</t>
  </si>
  <si>
    <t>D4.2</t>
  </si>
  <si>
    <t>D4.3</t>
  </si>
  <si>
    <t>D4.4</t>
  </si>
  <si>
    <t>D4.5</t>
  </si>
  <si>
    <t>D4.6</t>
  </si>
  <si>
    <t>A1.1</t>
  </si>
  <si>
    <t>A1.2</t>
  </si>
  <si>
    <t>A1.3</t>
  </si>
  <si>
    <t>A2.1</t>
  </si>
  <si>
    <t>A2.2</t>
  </si>
  <si>
    <t>A2.3</t>
  </si>
  <si>
    <t>A3.1</t>
  </si>
  <si>
    <t>A3.2</t>
  </si>
  <si>
    <t>A3.3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</si>
</sst>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Verdana"/>
      <family val="2"/>
    </font>
    <font>
      <b/>
      <sz val="30"/>
      <color indexed="8"/>
      <name val="Helvetica"/>
      <family val="2"/>
    </font>
    <font>
      <b/>
      <sz val="40"/>
      <color indexed="8"/>
      <name val="Helvetica"/>
      <family val="2"/>
    </font>
    <font>
      <b/>
      <sz val="10"/>
      <color indexed="8"/>
      <name val="Helvetica"/>
      <family val="2"/>
    </font>
    <font>
      <sz val="15"/>
      <color indexed="8"/>
      <name val="Helvetica"/>
      <family val="2"/>
    </font>
    <font>
      <b/>
      <sz val="17"/>
      <color indexed="8"/>
      <name val="Helvetica"/>
      <family val="2"/>
    </font>
    <font>
      <b/>
      <sz val="20"/>
      <color indexed="8"/>
      <name val="Helvetica"/>
      <family val="2"/>
    </font>
    <font>
      <b/>
      <sz val="9"/>
      <color indexed="8"/>
      <name val="Helvetica"/>
      <family val="2"/>
    </font>
    <font>
      <b/>
      <sz val="40"/>
      <color theme="1"/>
      <name val="Helvetica"/>
      <family val="2"/>
    </font>
    <font>
      <b/>
      <sz val="10"/>
      <color theme="1"/>
      <name val="Helvetica"/>
      <family val="2"/>
    </font>
    <font>
      <sz val="15"/>
      <color theme="1"/>
      <name val="Helvetica"/>
      <family val="2"/>
    </font>
    <font>
      <b/>
      <sz val="9"/>
      <color theme="1"/>
      <name val="Helvetica"/>
      <family val="2"/>
    </font>
    <font>
      <sz val="10"/>
      <name val="Verdana"/>
      <family val="2"/>
    </font>
    <font>
      <sz val="12"/>
      <color theme="1"/>
      <name val="Verdana"/>
      <family val="2"/>
    </font>
    <font>
      <b/>
      <sz val="10"/>
      <name val="Verdana"/>
      <family val="2"/>
    </font>
    <font>
      <b/>
      <sz val="12"/>
      <color theme="1"/>
      <name val="Verdana"/>
      <family val="2"/>
    </font>
    <font>
      <sz val="10"/>
      <name val="Verdana"/>
      <family val="2"/>
    </font>
    <font>
      <sz val="12"/>
      <name val="Verdana"/>
      <family val="2"/>
    </font>
    <font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indexed="8"/>
      <name val="Verdana"/>
      <family val="2"/>
    </font>
    <font>
      <b/>
      <sz val="18"/>
      <color theme="1"/>
      <name val="Verdana"/>
      <family val="2"/>
    </font>
    <font>
      <sz val="18"/>
      <color theme="1"/>
      <name val="Verdana"/>
      <family val="2"/>
    </font>
    <font>
      <b/>
      <sz val="16"/>
      <color theme="1"/>
      <name val="Verdana"/>
      <family val="2"/>
    </font>
    <font>
      <b/>
      <sz val="81"/>
      <color indexed="8"/>
      <name val="Helvetica"/>
      <family val="2"/>
    </font>
    <font>
      <b/>
      <sz val="48"/>
      <color indexed="8"/>
      <name val="Helvetica"/>
      <family val="2"/>
    </font>
    <font>
      <b/>
      <sz val="18"/>
      <color indexed="8"/>
      <name val="Helvetica"/>
      <family val="2"/>
    </font>
    <font>
      <b/>
      <sz val="40"/>
      <color indexed="8"/>
      <name val="Verdana"/>
      <family val="2"/>
    </font>
    <font>
      <b/>
      <sz val="48"/>
      <color indexed="8"/>
      <name val="Verdana"/>
      <family val="2"/>
    </font>
    <font>
      <b/>
      <sz val="48"/>
      <color theme="1"/>
      <name val="Verdana"/>
      <family val="2"/>
    </font>
    <font>
      <b/>
      <sz val="40"/>
      <color theme="1"/>
      <name val="Verdana"/>
      <family val="2"/>
    </font>
    <font>
      <sz val="12"/>
      <color theme="0"/>
      <name val="Verdana"/>
      <family val="2"/>
    </font>
    <font>
      <sz val="10"/>
      <color theme="1"/>
      <name val="Verdana"/>
      <family val="2"/>
    </font>
    <font>
      <b/>
      <sz val="12"/>
      <name val="Verdana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sz val="20"/>
      <color indexed="8"/>
      <name val="Helvetica"/>
      <family val="2"/>
    </font>
    <font>
      <sz val="24"/>
      <color theme="1"/>
      <name val="Calibri"/>
      <family val="2"/>
      <scheme val="minor"/>
    </font>
    <font>
      <b/>
      <sz val="20"/>
      <color theme="1"/>
      <name val="Verdana"/>
      <family val="2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2"/>
      <color indexed="8"/>
      <name val="Calibri"/>
      <family val="2"/>
      <scheme val="minor"/>
    </font>
    <font>
      <b/>
      <sz val="12"/>
      <color indexed="8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7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390"/>
        <bgColor indexed="64"/>
      </patternFill>
    </fill>
    <fill>
      <patternFill patternType="solid">
        <fgColor theme="4" tint="0.59999389629810485"/>
        <bgColor indexed="64"/>
      </patternFill>
    </fill>
  </fills>
  <borders count="1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/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rgb="FFFF000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8"/>
      </left>
      <right style="medium">
        <color indexed="8"/>
      </right>
      <top/>
      <bottom style="thick">
        <color rgb="FFFF0000"/>
      </bottom>
      <diagonal/>
    </border>
    <border>
      <left style="medium">
        <color indexed="64"/>
      </left>
      <right/>
      <top style="thick">
        <color indexed="8"/>
      </top>
      <bottom style="medium">
        <color indexed="64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medium">
        <color indexed="8"/>
      </left>
      <right/>
      <top style="medium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thick">
        <color rgb="FFFF0000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8"/>
      </left>
      <right style="medium">
        <color auto="1"/>
      </right>
      <top/>
      <bottom/>
      <diagonal/>
    </border>
    <border>
      <left/>
      <right/>
      <top/>
      <bottom style="thick">
        <color indexed="8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indexed="8"/>
      </left>
      <right/>
      <top style="thick">
        <color auto="1"/>
      </top>
      <bottom/>
      <diagonal/>
    </border>
    <border>
      <left/>
      <right style="thick">
        <color indexed="8"/>
      </right>
      <top style="thick">
        <color auto="1"/>
      </top>
      <bottom/>
      <diagonal/>
    </border>
    <border>
      <left style="thick">
        <color indexed="8"/>
      </left>
      <right/>
      <top/>
      <bottom style="thick">
        <color auto="1"/>
      </bottom>
      <diagonal/>
    </border>
    <border>
      <left/>
      <right style="thick">
        <color indexed="8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/>
      <top/>
      <bottom style="thick">
        <color indexed="8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 style="thick">
        <color indexed="8"/>
      </bottom>
      <diagonal/>
    </border>
    <border>
      <left style="thick">
        <color indexed="64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 style="thick">
        <color indexed="64"/>
      </left>
      <right/>
      <top/>
      <bottom style="medium">
        <color indexed="8"/>
      </bottom>
      <diagonal/>
    </border>
    <border>
      <left style="thick">
        <color indexed="64"/>
      </left>
      <right/>
      <top/>
      <bottom/>
      <diagonal/>
    </border>
    <border>
      <left style="medium">
        <color indexed="8"/>
      </left>
      <right style="medium">
        <color indexed="64"/>
      </right>
      <top/>
      <bottom style="thick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8"/>
      </top>
      <bottom style="medium">
        <color indexed="8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ck">
        <color indexed="64"/>
      </bottom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ck">
        <color indexed="64"/>
      </top>
      <bottom style="medium">
        <color indexed="64"/>
      </bottom>
      <diagonal/>
    </border>
    <border>
      <left style="medium">
        <color indexed="8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ck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ck">
        <color indexed="8"/>
      </top>
      <bottom style="medium">
        <color indexed="8"/>
      </bottom>
      <diagonal/>
    </border>
    <border>
      <left/>
      <right style="medium">
        <color indexed="64"/>
      </right>
      <top style="thick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auto="1"/>
      </left>
      <right/>
      <top style="thick">
        <color indexed="8"/>
      </top>
      <bottom/>
      <diagonal/>
    </border>
    <border>
      <left/>
      <right style="thick">
        <color auto="1"/>
      </right>
      <top style="thick">
        <color indexed="8"/>
      </top>
      <bottom/>
      <diagonal/>
    </border>
    <border>
      <left style="thick">
        <color auto="1"/>
      </left>
      <right/>
      <top/>
      <bottom style="thick">
        <color indexed="8"/>
      </bottom>
      <diagonal/>
    </border>
    <border>
      <left/>
      <right style="thick">
        <color auto="1"/>
      </right>
      <top/>
      <bottom style="thick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8"/>
      </left>
      <right style="thick">
        <color indexed="64"/>
      </right>
      <top style="thick">
        <color indexed="8"/>
      </top>
      <bottom/>
      <diagonal/>
    </border>
    <border>
      <left style="medium">
        <color indexed="8"/>
      </left>
      <right style="thick">
        <color indexed="64"/>
      </right>
      <top/>
      <bottom style="medium">
        <color indexed="8"/>
      </bottom>
      <diagonal/>
    </border>
    <border>
      <left style="medium">
        <color indexed="8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FF0000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rgb="FFFF0000"/>
      </bottom>
      <diagonal/>
    </border>
    <border>
      <left style="thick">
        <color indexed="8"/>
      </left>
      <right/>
      <top style="medium">
        <color indexed="8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/>
  </cellStyleXfs>
  <cellXfs count="416">
    <xf numFmtId="0" fontId="0" fillId="0" borderId="0" xfId="0"/>
    <xf numFmtId="0" fontId="4" fillId="5" borderId="40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8" fillId="5" borderId="43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65" xfId="0" applyFill="1" applyBorder="1" applyAlignment="1">
      <alignment wrapText="1"/>
    </xf>
    <xf numFmtId="0" fontId="4" fillId="5" borderId="58" xfId="0" applyFont="1" applyFill="1" applyBorder="1" applyAlignment="1">
      <alignment horizontal="center" vertical="center" wrapText="1"/>
    </xf>
    <xf numFmtId="0" fontId="0" fillId="7" borderId="66" xfId="0" applyFill="1" applyBorder="1" applyAlignment="1">
      <alignment wrapText="1"/>
    </xf>
    <xf numFmtId="0" fontId="9" fillId="5" borderId="31" xfId="0" applyFont="1" applyFill="1" applyBorder="1" applyAlignment="1">
      <alignment horizontal="center" vertical="center" wrapText="1"/>
    </xf>
    <xf numFmtId="0" fontId="4" fillId="5" borderId="67" xfId="0" applyFont="1" applyFill="1" applyBorder="1" applyAlignment="1">
      <alignment horizontal="center" vertical="center" wrapText="1"/>
    </xf>
    <xf numFmtId="0" fontId="4" fillId="5" borderId="68" xfId="0" applyFont="1" applyFill="1" applyBorder="1" applyAlignment="1">
      <alignment horizontal="center" vertical="center" wrapText="1"/>
    </xf>
    <xf numFmtId="0" fontId="5" fillId="5" borderId="74" xfId="0" applyFont="1" applyFill="1" applyBorder="1" applyAlignment="1">
      <alignment horizontal="center" vertical="center" wrapText="1"/>
    </xf>
    <xf numFmtId="0" fontId="7" fillId="5" borderId="75" xfId="0" applyFont="1" applyFill="1" applyBorder="1" applyAlignment="1">
      <alignment horizontal="center" vertical="center" wrapText="1"/>
    </xf>
    <xf numFmtId="0" fontId="9" fillId="5" borderId="76" xfId="0" applyFont="1" applyFill="1" applyBorder="1" applyAlignment="1">
      <alignment horizontal="center" vertical="center" wrapText="1"/>
    </xf>
    <xf numFmtId="0" fontId="5" fillId="5" borderId="77" xfId="0" applyFont="1" applyFill="1" applyBorder="1" applyAlignment="1">
      <alignment horizontal="center" vertical="center" wrapText="1"/>
    </xf>
    <xf numFmtId="0" fontId="5" fillId="5" borderId="78" xfId="0" applyFont="1" applyFill="1" applyBorder="1" applyAlignment="1">
      <alignment horizontal="center" vertical="center" wrapText="1"/>
    </xf>
    <xf numFmtId="0" fontId="5" fillId="5" borderId="75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8" fillId="5" borderId="79" xfId="0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0" fillId="3" borderId="0" xfId="0" applyFill="1"/>
    <xf numFmtId="0" fontId="18" fillId="3" borderId="27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36" fillId="0" borderId="51" xfId="0" applyFont="1" applyBorder="1" applyAlignment="1">
      <alignment horizontal="center" vertical="center"/>
    </xf>
    <xf numFmtId="0" fontId="16" fillId="3" borderId="0" xfId="0" applyFont="1" applyFill="1"/>
    <xf numFmtId="0" fontId="18" fillId="3" borderId="0" xfId="0" applyFont="1" applyFill="1" applyAlignment="1">
      <alignment horizontal="center" vertical="center"/>
    </xf>
    <xf numFmtId="0" fontId="30" fillId="0" borderId="60" xfId="0" applyFont="1" applyBorder="1" applyAlignment="1">
      <alignment horizontal="center" vertical="center" wrapText="1"/>
    </xf>
    <xf numFmtId="0" fontId="11" fillId="7" borderId="39" xfId="0" applyFont="1" applyFill="1" applyBorder="1" applyAlignment="1">
      <alignment vertical="center" wrapText="1"/>
    </xf>
    <xf numFmtId="0" fontId="6" fillId="0" borderId="107" xfId="0" applyFont="1" applyBorder="1" applyAlignment="1">
      <alignment horizontal="center" vertical="center" wrapText="1"/>
    </xf>
    <xf numFmtId="0" fontId="6" fillId="0" borderId="98" xfId="0" applyFont="1" applyBorder="1" applyAlignment="1">
      <alignment horizontal="center" vertical="center" wrapText="1"/>
    </xf>
    <xf numFmtId="0" fontId="30" fillId="0" borderId="107" xfId="0" applyFont="1" applyBorder="1" applyAlignment="1">
      <alignment horizontal="center" vertical="center" wrapText="1"/>
    </xf>
    <xf numFmtId="0" fontId="30" fillId="0" borderId="98" xfId="0" applyFont="1" applyBorder="1" applyAlignment="1">
      <alignment horizontal="center" vertical="center" wrapText="1"/>
    </xf>
    <xf numFmtId="0" fontId="30" fillId="0" borderId="99" xfId="0" applyFont="1" applyBorder="1" applyAlignment="1">
      <alignment horizontal="center" vertical="center" wrapText="1"/>
    </xf>
    <xf numFmtId="0" fontId="6" fillId="0" borderId="99" xfId="0" applyFont="1" applyBorder="1" applyAlignment="1">
      <alignment horizontal="center" vertical="center" wrapText="1"/>
    </xf>
    <xf numFmtId="0" fontId="6" fillId="0" borderId="113" xfId="0" applyFont="1" applyBorder="1" applyAlignment="1">
      <alignment horizontal="center" vertical="center" wrapText="1"/>
    </xf>
    <xf numFmtId="0" fontId="30" fillId="0" borderId="113" xfId="0" applyFont="1" applyBorder="1" applyAlignment="1">
      <alignment horizontal="center" vertical="center" wrapText="1"/>
    </xf>
    <xf numFmtId="0" fontId="30" fillId="0" borderId="115" xfId="0" applyFont="1" applyBorder="1" applyAlignment="1">
      <alignment horizontal="center" vertical="center" wrapText="1"/>
    </xf>
    <xf numFmtId="0" fontId="30" fillId="0" borderId="82" xfId="0" applyFont="1" applyBorder="1" applyAlignment="1">
      <alignment horizontal="center" vertical="center" wrapText="1"/>
    </xf>
    <xf numFmtId="0" fontId="6" fillId="0" borderId="115" xfId="0" applyFont="1" applyBorder="1" applyAlignment="1">
      <alignment horizontal="center" vertical="center" wrapText="1"/>
    </xf>
    <xf numFmtId="0" fontId="6" fillId="0" borderId="128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133" xfId="0" applyFont="1" applyBorder="1" applyAlignment="1">
      <alignment horizontal="center" vertical="center" wrapText="1"/>
    </xf>
    <xf numFmtId="0" fontId="38" fillId="3" borderId="30" xfId="0" applyFont="1" applyFill="1" applyBorder="1" applyAlignment="1">
      <alignment horizontal="center" vertical="center"/>
    </xf>
    <xf numFmtId="0" fontId="1" fillId="3" borderId="16" xfId="0" applyFont="1" applyFill="1" applyBorder="1" applyAlignment="1" applyProtection="1">
      <alignment horizontal="center" vertical="center"/>
      <protection locked="0"/>
    </xf>
    <xf numFmtId="0" fontId="35" fillId="3" borderId="10" xfId="0" applyFont="1" applyFill="1" applyBorder="1" applyAlignment="1" applyProtection="1">
      <alignment vertical="center" wrapText="1"/>
      <protection locked="0"/>
    </xf>
    <xf numFmtId="0" fontId="35" fillId="3" borderId="15" xfId="0" applyFont="1" applyFill="1" applyBorder="1" applyAlignment="1" applyProtection="1">
      <alignment vertical="center" wrapText="1"/>
      <protection locked="0"/>
    </xf>
    <xf numFmtId="0" fontId="15" fillId="3" borderId="15" xfId="0" applyFont="1" applyFill="1" applyBorder="1" applyAlignment="1" applyProtection="1">
      <alignment vertical="center" wrapText="1"/>
      <protection locked="0"/>
    </xf>
    <xf numFmtId="0" fontId="15" fillId="3" borderId="18" xfId="0" applyFont="1" applyFill="1" applyBorder="1" applyAlignment="1" applyProtection="1">
      <alignment vertical="center" wrapText="1"/>
      <protection locked="0"/>
    </xf>
    <xf numFmtId="0" fontId="39" fillId="3" borderId="19" xfId="0" applyFont="1" applyFill="1" applyBorder="1" applyAlignment="1">
      <alignment horizontal="center" vertical="center"/>
    </xf>
    <xf numFmtId="0" fontId="37" fillId="3" borderId="0" xfId="0" applyFont="1" applyFill="1" applyAlignment="1">
      <alignment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0" fillId="3" borderId="29" xfId="0" applyFill="1" applyBorder="1"/>
    <xf numFmtId="0" fontId="40" fillId="0" borderId="0" xfId="0" applyFont="1"/>
    <xf numFmtId="0" fontId="1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 applyProtection="1">
      <alignment vertical="center" wrapText="1"/>
      <protection locked="0"/>
    </xf>
    <xf numFmtId="0" fontId="1" fillId="8" borderId="11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40" fillId="3" borderId="0" xfId="0" applyFont="1" applyFill="1"/>
    <xf numFmtId="0" fontId="1" fillId="3" borderId="8" xfId="0" applyFont="1" applyFill="1" applyBorder="1" applyAlignment="1" applyProtection="1">
      <alignment horizontal="center" vertical="center"/>
      <protection locked="0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1" fillId="3" borderId="49" xfId="0" applyFont="1" applyFill="1" applyBorder="1" applyAlignment="1" applyProtection="1">
      <alignment horizontal="center" vertical="center"/>
      <protection locked="0"/>
    </xf>
    <xf numFmtId="0" fontId="15" fillId="3" borderId="51" xfId="0" applyFont="1" applyFill="1" applyBorder="1" applyAlignment="1" applyProtection="1">
      <alignment horizontal="center" vertical="center"/>
      <protection locked="0"/>
    </xf>
    <xf numFmtId="0" fontId="1" fillId="3" borderId="22" xfId="0" applyFont="1" applyFill="1" applyBorder="1" applyAlignment="1" applyProtection="1">
      <alignment horizontal="center" vertical="center"/>
      <protection locked="0"/>
    </xf>
    <xf numFmtId="0" fontId="15" fillId="3" borderId="141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/>
    </xf>
    <xf numFmtId="0" fontId="27" fillId="3" borderId="2" xfId="0" applyFont="1" applyFill="1" applyBorder="1" applyAlignment="1">
      <alignment vertical="center"/>
    </xf>
    <xf numFmtId="0" fontId="27" fillId="3" borderId="5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8" fillId="3" borderId="39" xfId="0" applyFont="1" applyFill="1" applyBorder="1" applyAlignment="1">
      <alignment horizontal="center" vertical="center"/>
    </xf>
    <xf numFmtId="0" fontId="16" fillId="3" borderId="8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16" fillId="3" borderId="13" xfId="0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54" xfId="0" applyFont="1" applyFill="1" applyBorder="1" applyAlignment="1" applyProtection="1">
      <alignment horizontal="center" vertical="center" wrapText="1"/>
      <protection locked="0"/>
    </xf>
    <xf numFmtId="0" fontId="16" fillId="3" borderId="14" xfId="0" applyFont="1" applyFill="1" applyBorder="1" applyAlignment="1" applyProtection="1">
      <alignment horizontal="center" vertical="center" wrapText="1"/>
      <protection locked="0"/>
    </xf>
    <xf numFmtId="0" fontId="16" fillId="3" borderId="21" xfId="0" applyFont="1" applyFill="1" applyBorder="1" applyAlignment="1" applyProtection="1">
      <alignment horizontal="center" vertical="center" wrapText="1"/>
      <protection locked="0"/>
    </xf>
    <xf numFmtId="0" fontId="16" fillId="3" borderId="17" xfId="0" applyFont="1" applyFill="1" applyBorder="1" applyAlignment="1" applyProtection="1">
      <alignment horizontal="center" vertical="center" wrapText="1"/>
      <protection locked="0"/>
    </xf>
    <xf numFmtId="0" fontId="16" fillId="3" borderId="23" xfId="0" applyFont="1" applyFill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6" fillId="3" borderId="0" xfId="0" applyFont="1" applyFill="1"/>
    <xf numFmtId="0" fontId="18" fillId="3" borderId="30" xfId="0" applyFont="1" applyFill="1" applyBorder="1" applyAlignment="1">
      <alignment horizontal="center" vertical="center"/>
    </xf>
    <xf numFmtId="0" fontId="39" fillId="3" borderId="27" xfId="0" applyFont="1" applyFill="1" applyBorder="1" applyAlignment="1">
      <alignment horizontal="center" vertical="center"/>
    </xf>
    <xf numFmtId="0" fontId="39" fillId="3" borderId="31" xfId="0" applyFont="1" applyFill="1" applyBorder="1" applyAlignment="1">
      <alignment horizontal="center" vertical="center"/>
    </xf>
    <xf numFmtId="0" fontId="39" fillId="3" borderId="36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36" fillId="0" borderId="14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25" fillId="3" borderId="146" xfId="0" applyFont="1" applyFill="1" applyBorder="1" applyAlignment="1">
      <alignment horizontal="center" vertical="center"/>
    </xf>
    <xf numFmtId="0" fontId="26" fillId="3" borderId="146" xfId="0" applyFont="1" applyFill="1" applyBorder="1"/>
    <xf numFmtId="0" fontId="16" fillId="3" borderId="146" xfId="0" applyFont="1" applyFill="1" applyBorder="1"/>
    <xf numFmtId="49" fontId="22" fillId="3" borderId="0" xfId="0" applyNumberFormat="1" applyFont="1" applyFill="1"/>
    <xf numFmtId="0" fontId="18" fillId="3" borderId="0" xfId="0" applyFont="1" applyFill="1"/>
    <xf numFmtId="0" fontId="16" fillId="3" borderId="21" xfId="0" applyFont="1" applyFill="1" applyBorder="1" applyAlignment="1">
      <alignment horizontal="center"/>
    </xf>
    <xf numFmtId="49" fontId="21" fillId="3" borderId="12" xfId="0" applyNumberFormat="1" applyFont="1" applyFill="1" applyBorder="1" applyProtection="1">
      <protection locked="0"/>
    </xf>
    <xf numFmtId="0" fontId="21" fillId="3" borderId="21" xfId="0" applyFont="1" applyFill="1" applyBorder="1" applyAlignment="1" applyProtection="1">
      <alignment horizontal="center" vertical="center"/>
      <protection locked="0"/>
    </xf>
    <xf numFmtId="0" fontId="23" fillId="3" borderId="0" xfId="0" applyFont="1" applyFill="1"/>
    <xf numFmtId="0" fontId="20" fillId="3" borderId="12" xfId="0" applyFont="1" applyFill="1" applyBorder="1" applyProtection="1">
      <protection locked="0"/>
    </xf>
    <xf numFmtId="0" fontId="20" fillId="3" borderId="21" xfId="0" applyFont="1" applyFill="1" applyBorder="1" applyAlignment="1" applyProtection="1">
      <alignment horizontal="center"/>
      <protection locked="0"/>
    </xf>
    <xf numFmtId="0" fontId="16" fillId="3" borderId="12" xfId="0" applyFont="1" applyFill="1" applyBorder="1" applyProtection="1">
      <protection locked="0"/>
    </xf>
    <xf numFmtId="0" fontId="15" fillId="3" borderId="0" xfId="0" applyFont="1" applyFill="1"/>
    <xf numFmtId="0" fontId="16" fillId="3" borderId="21" xfId="0" applyFont="1" applyFill="1" applyBorder="1" applyAlignment="1" applyProtection="1">
      <alignment horizontal="center" vertical="center"/>
      <protection locked="0"/>
    </xf>
    <xf numFmtId="0" fontId="16" fillId="3" borderId="21" xfId="0" applyFont="1" applyFill="1" applyBorder="1" applyAlignment="1" applyProtection="1">
      <alignment horizontal="center"/>
      <protection locked="0"/>
    </xf>
    <xf numFmtId="0" fontId="1" fillId="3" borderId="13" xfId="0" applyFont="1" applyFill="1" applyBorder="1"/>
    <xf numFmtId="0" fontId="16" fillId="3" borderId="21" xfId="0" applyFont="1" applyFill="1" applyBorder="1" applyAlignment="1">
      <alignment horizontal="center" vertical="center"/>
    </xf>
    <xf numFmtId="0" fontId="16" fillId="3" borderId="13" xfId="0" applyFont="1" applyFill="1" applyBorder="1"/>
    <xf numFmtId="49" fontId="21" fillId="3" borderId="13" xfId="0" applyNumberFormat="1" applyFont="1" applyFill="1" applyBorder="1" applyProtection="1">
      <protection locked="0"/>
    </xf>
    <xf numFmtId="0" fontId="21" fillId="3" borderId="21" xfId="0" applyFont="1" applyFill="1" applyBorder="1" applyAlignment="1" applyProtection="1">
      <alignment horizontal="center"/>
      <protection locked="0"/>
    </xf>
    <xf numFmtId="0" fontId="21" fillId="3" borderId="12" xfId="0" applyFont="1" applyFill="1" applyBorder="1" applyProtection="1">
      <protection locked="0"/>
    </xf>
    <xf numFmtId="0" fontId="16" fillId="3" borderId="50" xfId="0" applyFont="1" applyFill="1" applyBorder="1" applyProtection="1">
      <protection locked="0"/>
    </xf>
    <xf numFmtId="0" fontId="16" fillId="3" borderId="7" xfId="0" applyFont="1" applyFill="1" applyBorder="1" applyProtection="1">
      <protection locked="0"/>
    </xf>
    <xf numFmtId="0" fontId="16" fillId="3" borderId="31" xfId="0" applyFont="1" applyFill="1" applyBorder="1" applyAlignment="1" applyProtection="1">
      <alignment vertical="center"/>
      <protection locked="0"/>
    </xf>
    <xf numFmtId="0" fontId="16" fillId="3" borderId="21" xfId="0" applyFont="1" applyFill="1" applyBorder="1" applyProtection="1">
      <protection locked="0"/>
    </xf>
    <xf numFmtId="0" fontId="16" fillId="3" borderId="16" xfId="0" applyFont="1" applyFill="1" applyBorder="1" applyProtection="1">
      <protection locked="0"/>
    </xf>
    <xf numFmtId="0" fontId="16" fillId="3" borderId="23" xfId="0" applyFont="1" applyFill="1" applyBorder="1" applyAlignment="1">
      <alignment horizontal="center"/>
    </xf>
    <xf numFmtId="1" fontId="23" fillId="3" borderId="0" xfId="0" applyNumberFormat="1" applyFont="1" applyFill="1"/>
    <xf numFmtId="1" fontId="21" fillId="3" borderId="12" xfId="0" applyNumberFormat="1" applyFont="1" applyFill="1" applyBorder="1" applyProtection="1">
      <protection locked="0"/>
    </xf>
    <xf numFmtId="1" fontId="21" fillId="3" borderId="21" xfId="0" applyNumberFormat="1" applyFont="1" applyFill="1" applyBorder="1" applyAlignment="1" applyProtection="1">
      <alignment horizontal="center"/>
      <protection locked="0"/>
    </xf>
    <xf numFmtId="0" fontId="24" fillId="3" borderId="0" xfId="0" applyFont="1" applyFill="1"/>
    <xf numFmtId="0" fontId="16" fillId="3" borderId="23" xfId="0" applyFont="1" applyFill="1" applyBorder="1" applyAlignment="1" applyProtection="1">
      <alignment horizontal="center" vertical="center"/>
      <protection locked="0"/>
    </xf>
    <xf numFmtId="0" fontId="16" fillId="3" borderId="23" xfId="0" applyFont="1" applyFill="1" applyBorder="1" applyAlignment="1" applyProtection="1">
      <alignment horizontal="center"/>
      <protection locked="0"/>
    </xf>
    <xf numFmtId="0" fontId="7" fillId="2" borderId="108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0" fontId="7" fillId="2" borderId="104" xfId="0" applyFont="1" applyFill="1" applyBorder="1" applyAlignment="1">
      <alignment horizontal="center" vertical="center" wrapText="1"/>
    </xf>
    <xf numFmtId="0" fontId="7" fillId="2" borderId="114" xfId="0" applyFont="1" applyFill="1" applyBorder="1" applyAlignment="1">
      <alignment horizontal="center" vertical="center" wrapText="1"/>
    </xf>
    <xf numFmtId="0" fontId="7" fillId="2" borderId="121" xfId="0" applyFont="1" applyFill="1" applyBorder="1" applyAlignment="1">
      <alignment horizontal="center" vertical="center" wrapText="1"/>
    </xf>
    <xf numFmtId="0" fontId="7" fillId="2" borderId="122" xfId="0" applyFont="1" applyFill="1" applyBorder="1" applyAlignment="1">
      <alignment horizontal="center" vertical="center" wrapText="1"/>
    </xf>
    <xf numFmtId="0" fontId="7" fillId="2" borderId="123" xfId="0" applyFont="1" applyFill="1" applyBorder="1" applyAlignment="1">
      <alignment horizontal="center" vertical="center" wrapText="1"/>
    </xf>
    <xf numFmtId="0" fontId="7" fillId="2" borderId="130" xfId="0" applyFont="1" applyFill="1" applyBorder="1" applyAlignment="1">
      <alignment horizontal="center" vertical="center" wrapText="1"/>
    </xf>
    <xf numFmtId="0" fontId="7" fillId="2" borderId="124" xfId="0" applyFont="1" applyFill="1" applyBorder="1" applyAlignment="1">
      <alignment horizontal="center" vertical="center" wrapText="1"/>
    </xf>
    <xf numFmtId="0" fontId="7" fillId="2" borderId="125" xfId="0" applyFont="1" applyFill="1" applyBorder="1" applyAlignment="1">
      <alignment horizontal="center" vertical="center" wrapText="1"/>
    </xf>
    <xf numFmtId="0" fontId="7" fillId="2" borderId="118" xfId="0" applyFont="1" applyFill="1" applyBorder="1" applyAlignment="1">
      <alignment horizontal="center" vertical="center" wrapText="1"/>
    </xf>
    <xf numFmtId="0" fontId="7" fillId="2" borderId="131" xfId="0" applyFont="1" applyFill="1" applyBorder="1" applyAlignment="1">
      <alignment horizontal="center" vertical="center" wrapText="1"/>
    </xf>
    <xf numFmtId="0" fontId="7" fillId="2" borderId="129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7" fillId="2" borderId="64" xfId="0" applyFont="1" applyFill="1" applyBorder="1" applyAlignment="1">
      <alignment horizontal="center" vertical="center" wrapText="1"/>
    </xf>
    <xf numFmtId="49" fontId="9" fillId="0" borderId="99" xfId="0" applyNumberFormat="1" applyFont="1" applyBorder="1" applyAlignment="1">
      <alignment horizontal="center" vertical="center" wrapText="1"/>
    </xf>
    <xf numFmtId="49" fontId="9" fillId="0" borderId="72" xfId="0" applyNumberFormat="1" applyFont="1" applyBorder="1" applyAlignment="1">
      <alignment horizontal="center" vertical="center" wrapText="1"/>
    </xf>
    <xf numFmtId="0" fontId="41" fillId="6" borderId="104" xfId="0" applyFont="1" applyFill="1" applyBorder="1" applyAlignment="1">
      <alignment horizontal="center" vertical="center" wrapText="1"/>
    </xf>
    <xf numFmtId="49" fontId="9" fillId="0" borderId="117" xfId="0" applyNumberFormat="1" applyFont="1" applyBorder="1" applyAlignment="1">
      <alignment horizontal="center" vertical="center" wrapText="1"/>
    </xf>
    <xf numFmtId="0" fontId="41" fillId="6" borderId="118" xfId="0" applyFont="1" applyFill="1" applyBorder="1" applyAlignment="1">
      <alignment horizontal="center" vertical="center" wrapText="1"/>
    </xf>
    <xf numFmtId="0" fontId="41" fillId="6" borderId="119" xfId="0" applyFont="1" applyFill="1" applyBorder="1" applyAlignment="1">
      <alignment horizontal="center" vertical="center" wrapText="1"/>
    </xf>
    <xf numFmtId="49" fontId="9" fillId="0" borderId="120" xfId="0" applyNumberFormat="1" applyFont="1" applyBorder="1" applyAlignment="1">
      <alignment horizontal="center" vertical="center" wrapText="1"/>
    </xf>
    <xf numFmtId="0" fontId="41" fillId="6" borderId="116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18" fillId="3" borderId="12" xfId="0" applyFont="1" applyFill="1" applyBorder="1"/>
    <xf numFmtId="0" fontId="18" fillId="3" borderId="21" xfId="0" applyFont="1" applyFill="1" applyBorder="1" applyAlignment="1">
      <alignment horizontal="center"/>
    </xf>
    <xf numFmtId="0" fontId="16" fillId="3" borderId="12" xfId="0" applyFont="1" applyFill="1" applyBorder="1"/>
    <xf numFmtId="49" fontId="22" fillId="3" borderId="12" xfId="0" applyNumberFormat="1" applyFont="1" applyFill="1" applyBorder="1"/>
    <xf numFmtId="49" fontId="22" fillId="3" borderId="21" xfId="0" applyNumberFormat="1" applyFont="1" applyFill="1" applyBorder="1" applyAlignment="1">
      <alignment horizontal="center"/>
    </xf>
    <xf numFmtId="0" fontId="16" fillId="3" borderId="26" xfId="0" applyFont="1" applyFill="1" applyBorder="1"/>
    <xf numFmtId="0" fontId="16" fillId="3" borderId="0" xfId="0" applyFont="1" applyFill="1" applyAlignment="1">
      <alignment horizont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/>
      <protection locked="0"/>
    </xf>
    <xf numFmtId="0" fontId="15" fillId="3" borderId="16" xfId="0" applyFont="1" applyFill="1" applyBorder="1" applyAlignment="1" applyProtection="1">
      <alignment horizontal="center" vertical="center"/>
      <protection locked="0"/>
    </xf>
    <xf numFmtId="0" fontId="15" fillId="3" borderId="19" xfId="0" applyFont="1" applyFill="1" applyBorder="1" applyAlignment="1" applyProtection="1">
      <alignment horizontal="center" vertical="center"/>
      <protection locked="0"/>
    </xf>
    <xf numFmtId="0" fontId="15" fillId="3" borderId="14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0" borderId="140" xfId="0" applyFont="1" applyFill="1" applyBorder="1" applyAlignment="1">
      <alignment horizontal="center" vertical="center"/>
    </xf>
    <xf numFmtId="0" fontId="20" fillId="10" borderId="11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28" fillId="3" borderId="103" xfId="0" applyFont="1" applyFill="1" applyBorder="1" applyAlignment="1">
      <alignment horizontal="center" vertical="center" wrapText="1"/>
    </xf>
    <xf numFmtId="0" fontId="29" fillId="3" borderId="89" xfId="0" applyFont="1" applyFill="1" applyBorder="1" applyAlignment="1">
      <alignment shrinkToFit="1"/>
    </xf>
    <xf numFmtId="0" fontId="29" fillId="3" borderId="0" xfId="0" applyFont="1" applyFill="1" applyAlignment="1">
      <alignment shrinkToFit="1"/>
    </xf>
    <xf numFmtId="0" fontId="0" fillId="3" borderId="103" xfId="0" applyFill="1" applyBorder="1"/>
    <xf numFmtId="0" fontId="0" fillId="3" borderId="85" xfId="0" applyFill="1" applyBorder="1"/>
    <xf numFmtId="0" fontId="0" fillId="3" borderId="89" xfId="0" applyFill="1" applyBorder="1"/>
    <xf numFmtId="0" fontId="6" fillId="0" borderId="147" xfId="0" applyFont="1" applyBorder="1" applyAlignment="1">
      <alignment horizontal="center" vertical="center" wrapText="1"/>
    </xf>
    <xf numFmtId="0" fontId="12" fillId="7" borderId="148" xfId="0" applyFont="1" applyFill="1" applyBorder="1" applyAlignment="1">
      <alignment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0" fillId="7" borderId="148" xfId="0" applyFill="1" applyBorder="1" applyAlignment="1">
      <alignment wrapText="1"/>
    </xf>
    <xf numFmtId="0" fontId="9" fillId="5" borderId="148" xfId="0" applyFont="1" applyFill="1" applyBorder="1" applyAlignment="1">
      <alignment horizontal="center" vertical="center" wrapText="1"/>
    </xf>
    <xf numFmtId="0" fontId="0" fillId="7" borderId="154" xfId="0" applyFill="1" applyBorder="1" applyAlignment="1">
      <alignment wrapText="1"/>
    </xf>
    <xf numFmtId="0" fontId="14" fillId="7" borderId="155" xfId="0" applyFont="1" applyFill="1" applyBorder="1" applyAlignment="1">
      <alignment vertical="center" wrapText="1"/>
    </xf>
    <xf numFmtId="0" fontId="4" fillId="5" borderId="156" xfId="0" applyFont="1" applyFill="1" applyBorder="1" applyAlignment="1">
      <alignment horizontal="center" vertical="center" wrapText="1"/>
    </xf>
    <xf numFmtId="0" fontId="0" fillId="7" borderId="157" xfId="0" applyFill="1" applyBorder="1"/>
    <xf numFmtId="0" fontId="7" fillId="5" borderId="158" xfId="0" applyFont="1" applyFill="1" applyBorder="1" applyAlignment="1">
      <alignment horizontal="center" vertical="center" wrapText="1"/>
    </xf>
    <xf numFmtId="0" fontId="7" fillId="5" borderId="159" xfId="0" applyFont="1" applyFill="1" applyBorder="1" applyAlignment="1">
      <alignment horizontal="center" vertical="center" wrapText="1"/>
    </xf>
    <xf numFmtId="0" fontId="0" fillId="7" borderId="157" xfId="0" applyFill="1" applyBorder="1" applyAlignment="1">
      <alignment vertical="center"/>
    </xf>
    <xf numFmtId="0" fontId="9" fillId="7" borderId="158" xfId="0" applyFont="1" applyFill="1" applyBorder="1" applyAlignment="1">
      <alignment horizontal="center" vertical="center"/>
    </xf>
    <xf numFmtId="49" fontId="1" fillId="3" borderId="12" xfId="0" applyNumberFormat="1" applyFont="1" applyFill="1" applyBorder="1" applyProtection="1">
      <protection locked="0"/>
    </xf>
    <xf numFmtId="0" fontId="38" fillId="3" borderId="0" xfId="0" applyFont="1" applyFill="1"/>
    <xf numFmtId="0" fontId="1" fillId="3" borderId="0" xfId="0" applyFont="1" applyFill="1"/>
    <xf numFmtId="0" fontId="0" fillId="0" borderId="39" xfId="0" applyBorder="1"/>
    <xf numFmtId="0" fontId="16" fillId="3" borderId="161" xfId="0" applyFont="1" applyFill="1" applyBorder="1" applyAlignment="1">
      <alignment horizontal="center"/>
    </xf>
    <xf numFmtId="0" fontId="16" fillId="11" borderId="19" xfId="0" applyFont="1" applyFill="1" applyBorder="1"/>
    <xf numFmtId="0" fontId="16" fillId="11" borderId="20" xfId="0" applyFont="1" applyFill="1" applyBorder="1" applyAlignment="1">
      <alignment horizontal="center" vertical="center"/>
    </xf>
    <xf numFmtId="0" fontId="16" fillId="11" borderId="12" xfId="0" applyFont="1" applyFill="1" applyBorder="1"/>
    <xf numFmtId="0" fontId="16" fillId="11" borderId="21" xfId="0" applyFont="1" applyFill="1" applyBorder="1" applyAlignment="1">
      <alignment horizontal="center" vertical="center"/>
    </xf>
    <xf numFmtId="0" fontId="16" fillId="11" borderId="21" xfId="0" applyFont="1" applyFill="1" applyBorder="1"/>
    <xf numFmtId="0" fontId="1" fillId="11" borderId="21" xfId="0" applyFont="1" applyFill="1" applyBorder="1" applyAlignment="1">
      <alignment horizontal="center" vertical="center"/>
    </xf>
    <xf numFmtId="0" fontId="16" fillId="11" borderId="16" xfId="0" applyFont="1" applyFill="1" applyBorder="1"/>
    <xf numFmtId="0" fontId="16" fillId="11" borderId="23" xfId="0" applyFont="1" applyFill="1" applyBorder="1" applyAlignment="1">
      <alignment horizontal="center" vertical="center"/>
    </xf>
    <xf numFmtId="0" fontId="38" fillId="0" borderId="0" xfId="0" applyFont="1"/>
    <xf numFmtId="0" fontId="38" fillId="0" borderId="0" xfId="0" applyFont="1" applyAlignment="1">
      <alignment horizontal="left"/>
    </xf>
    <xf numFmtId="0" fontId="4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>
      <alignment horizontal="center"/>
    </xf>
    <xf numFmtId="0" fontId="46" fillId="3" borderId="0" xfId="0" applyFont="1" applyFill="1" applyAlignment="1">
      <alignment horizontal="center"/>
    </xf>
    <xf numFmtId="0" fontId="25" fillId="9" borderId="19" xfId="0" applyFont="1" applyFill="1" applyBorder="1" applyAlignment="1">
      <alignment horizontal="center" vertical="center"/>
    </xf>
    <xf numFmtId="0" fontId="25" fillId="9" borderId="20" xfId="0" applyFont="1" applyFill="1" applyBorder="1" applyAlignment="1">
      <alignment horizontal="center" vertical="center"/>
    </xf>
    <xf numFmtId="0" fontId="27" fillId="9" borderId="25" xfId="0" applyFont="1" applyFill="1" applyBorder="1" applyAlignment="1">
      <alignment horizontal="center" vertical="center"/>
    </xf>
    <xf numFmtId="0" fontId="27" fillId="9" borderId="32" xfId="0" applyFont="1" applyFill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 wrapText="1"/>
    </xf>
    <xf numFmtId="0" fontId="27" fillId="9" borderId="2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6" fillId="3" borderId="2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43" fillId="3" borderId="55" xfId="0" applyFont="1" applyFill="1" applyBorder="1" applyAlignment="1" applyProtection="1">
      <alignment horizontal="center" vertical="center" wrapText="1"/>
      <protection locked="0"/>
    </xf>
    <xf numFmtId="0" fontId="43" fillId="3" borderId="56" xfId="0" applyFont="1" applyFill="1" applyBorder="1" applyAlignment="1" applyProtection="1">
      <alignment horizontal="center" vertical="center" wrapText="1"/>
      <protection locked="0"/>
    </xf>
    <xf numFmtId="0" fontId="43" fillId="3" borderId="57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17" fillId="0" borderId="2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3" xfId="0" applyFill="1" applyBorder="1" applyAlignment="1">
      <alignment horizontal="center"/>
    </xf>
    <xf numFmtId="0" fontId="17" fillId="10" borderId="37" xfId="0" applyFont="1" applyFill="1" applyBorder="1" applyAlignment="1">
      <alignment horizontal="center" vertical="center"/>
    </xf>
    <xf numFmtId="0" fontId="17" fillId="10" borderId="38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20" fillId="0" borderId="10" xfId="0" applyFont="1" applyBorder="1" applyAlignment="1" applyProtection="1">
      <alignment horizontal="center" vertical="center" wrapText="1"/>
      <protection locked="0"/>
    </xf>
    <xf numFmtId="0" fontId="20" fillId="0" borderId="15" xfId="0" applyFont="1" applyBorder="1" applyAlignment="1" applyProtection="1">
      <alignment horizontal="center" vertical="center" wrapText="1"/>
      <protection locked="0"/>
    </xf>
    <xf numFmtId="0" fontId="20" fillId="0" borderId="18" xfId="0" applyFont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center"/>
    </xf>
    <xf numFmtId="0" fontId="18" fillId="9" borderId="1" xfId="0" applyFont="1" applyFill="1" applyBorder="1" applyAlignment="1">
      <alignment horizontal="right" vertical="center"/>
    </xf>
    <xf numFmtId="0" fontId="18" fillId="9" borderId="3" xfId="0" applyFont="1" applyFill="1" applyBorder="1" applyAlignment="1">
      <alignment horizontal="right" vertical="center"/>
    </xf>
    <xf numFmtId="0" fontId="37" fillId="3" borderId="1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/>
    </xf>
    <xf numFmtId="0" fontId="37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7" fillId="10" borderId="95" xfId="0" applyFont="1" applyFill="1" applyBorder="1" applyAlignment="1">
      <alignment horizontal="center" vertical="center"/>
    </xf>
    <xf numFmtId="0" fontId="17" fillId="10" borderId="96" xfId="0" applyFont="1" applyFill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7" fillId="0" borderId="143" xfId="0" applyFont="1" applyBorder="1" applyAlignment="1">
      <alignment horizontal="center" vertical="center"/>
    </xf>
    <xf numFmtId="0" fontId="39" fillId="9" borderId="1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9" fillId="9" borderId="3" xfId="0" applyFont="1" applyFill="1" applyBorder="1" applyAlignment="1">
      <alignment horizontal="right" vertical="center"/>
    </xf>
    <xf numFmtId="0" fontId="37" fillId="3" borderId="1" xfId="0" applyFont="1" applyFill="1" applyBorder="1" applyAlignment="1" applyProtection="1">
      <alignment horizontal="center" vertical="center"/>
      <protection locked="0"/>
    </xf>
    <xf numFmtId="0" fontId="37" fillId="3" borderId="2" xfId="0" applyFont="1" applyFill="1" applyBorder="1" applyAlignment="1" applyProtection="1">
      <alignment horizontal="center" vertical="center"/>
      <protection locked="0"/>
    </xf>
    <xf numFmtId="0" fontId="37" fillId="3" borderId="3" xfId="0" applyFont="1" applyFill="1" applyBorder="1" applyAlignment="1" applyProtection="1">
      <alignment horizontal="center" vertical="center"/>
      <protection locked="0"/>
    </xf>
    <xf numFmtId="0" fontId="36" fillId="3" borderId="0" xfId="0" applyFont="1" applyFill="1" applyAlignment="1">
      <alignment horizontal="center"/>
    </xf>
    <xf numFmtId="0" fontId="36" fillId="3" borderId="29" xfId="0" applyFont="1" applyFill="1" applyBorder="1" applyAlignment="1">
      <alignment horizontal="center"/>
    </xf>
    <xf numFmtId="0" fontId="36" fillId="3" borderId="2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6" fillId="3" borderId="26" xfId="0" applyFont="1" applyFill="1" applyBorder="1" applyAlignment="1">
      <alignment horizontal="center"/>
    </xf>
    <xf numFmtId="49" fontId="9" fillId="0" borderId="151" xfId="0" applyNumberFormat="1" applyFont="1" applyBorder="1" applyAlignment="1">
      <alignment horizontal="center" vertical="center" wrapText="1"/>
    </xf>
    <xf numFmtId="49" fontId="9" fillId="0" borderId="152" xfId="0" applyNumberFormat="1" applyFont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top" wrapText="1"/>
    </xf>
    <xf numFmtId="0" fontId="42" fillId="3" borderId="26" xfId="0" applyFont="1" applyFill="1" applyBorder="1" applyAlignment="1">
      <alignment horizontal="center" vertical="top" wrapText="1"/>
    </xf>
    <xf numFmtId="0" fontId="42" fillId="3" borderId="32" xfId="0" applyFont="1" applyFill="1" applyBorder="1" applyAlignment="1">
      <alignment horizontal="center" vertical="top" wrapText="1"/>
    </xf>
    <xf numFmtId="0" fontId="42" fillId="3" borderId="28" xfId="0" applyFont="1" applyFill="1" applyBorder="1" applyAlignment="1">
      <alignment horizontal="center" vertical="top" wrapText="1"/>
    </xf>
    <xf numFmtId="0" fontId="42" fillId="3" borderId="29" xfId="0" applyFont="1" applyFill="1" applyBorder="1" applyAlignment="1">
      <alignment horizontal="center" vertical="top" wrapText="1"/>
    </xf>
    <xf numFmtId="0" fontId="42" fillId="3" borderId="30" xfId="0" applyFont="1" applyFill="1" applyBorder="1" applyAlignment="1">
      <alignment horizontal="center" vertical="top" wrapText="1"/>
    </xf>
    <xf numFmtId="0" fontId="32" fillId="3" borderId="127" xfId="0" applyFont="1" applyFill="1" applyBorder="1" applyAlignment="1">
      <alignment horizontal="center" shrinkToFit="1"/>
    </xf>
    <xf numFmtId="0" fontId="32" fillId="3" borderId="44" xfId="0" applyFont="1" applyFill="1" applyBorder="1" applyAlignment="1">
      <alignment horizontal="center" shrinkToFit="1"/>
    </xf>
    <xf numFmtId="0" fontId="32" fillId="3" borderId="48" xfId="0" applyFont="1" applyFill="1" applyBorder="1" applyAlignment="1">
      <alignment horizontal="center" shrinkToFit="1"/>
    </xf>
    <xf numFmtId="0" fontId="32" fillId="3" borderId="83" xfId="0" applyFont="1" applyFill="1" applyBorder="1" applyAlignment="1">
      <alignment horizontal="center" shrinkToFit="1"/>
    </xf>
    <xf numFmtId="0" fontId="32" fillId="3" borderId="70" xfId="0" applyFont="1" applyFill="1" applyBorder="1" applyAlignment="1">
      <alignment horizontal="center" shrinkToFit="1"/>
    </xf>
    <xf numFmtId="0" fontId="32" fillId="3" borderId="71" xfId="0" applyFont="1" applyFill="1" applyBorder="1" applyAlignment="1">
      <alignment horizontal="center" shrinkToFit="1"/>
    </xf>
    <xf numFmtId="0" fontId="32" fillId="3" borderId="45" xfId="0" applyFont="1" applyFill="1" applyBorder="1" applyAlignment="1">
      <alignment horizontal="center" shrinkToFit="1"/>
    </xf>
    <xf numFmtId="0" fontId="32" fillId="3" borderId="69" xfId="0" applyFont="1" applyFill="1" applyBorder="1" applyAlignment="1">
      <alignment horizontal="center" shrinkToFit="1"/>
    </xf>
    <xf numFmtId="0" fontId="32" fillId="3" borderId="136" xfId="0" applyFont="1" applyFill="1" applyBorder="1" applyAlignment="1">
      <alignment horizontal="center" shrinkToFit="1"/>
    </xf>
    <xf numFmtId="0" fontId="32" fillId="3" borderId="137" xfId="0" applyFont="1" applyFill="1" applyBorder="1" applyAlignment="1">
      <alignment horizontal="center" shrinkToFit="1"/>
    </xf>
    <xf numFmtId="0" fontId="32" fillId="3" borderId="138" xfId="0" applyFont="1" applyFill="1" applyBorder="1" applyAlignment="1">
      <alignment horizontal="center" shrinkToFit="1"/>
    </xf>
    <xf numFmtId="0" fontId="32" fillId="3" borderId="139" xfId="0" applyFont="1" applyFill="1" applyBorder="1" applyAlignment="1">
      <alignment horizontal="center" shrinkToFit="1"/>
    </xf>
    <xf numFmtId="49" fontId="9" fillId="0" borderId="153" xfId="0" applyNumberFormat="1" applyFont="1" applyBorder="1" applyAlignment="1">
      <alignment horizontal="center" vertical="center" wrapText="1"/>
    </xf>
    <xf numFmtId="0" fontId="31" fillId="0" borderId="11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111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31" fillId="0" borderId="81" xfId="0" applyFont="1" applyBorder="1" applyAlignment="1">
      <alignment horizontal="center" vertical="center" wrapText="1"/>
    </xf>
    <xf numFmtId="0" fontId="31" fillId="0" borderId="126" xfId="0" applyFont="1" applyBorder="1" applyAlignment="1">
      <alignment horizontal="center" vertical="center" wrapText="1"/>
    </xf>
    <xf numFmtId="0" fontId="31" fillId="0" borderId="127" xfId="0" applyFont="1" applyBorder="1" applyAlignment="1">
      <alignment horizontal="center" vertical="center" wrapText="1"/>
    </xf>
    <xf numFmtId="0" fontId="31" fillId="0" borderId="132" xfId="0" applyFont="1" applyBorder="1" applyAlignment="1">
      <alignment horizontal="center" vertical="center" wrapText="1"/>
    </xf>
    <xf numFmtId="0" fontId="32" fillId="3" borderId="0" xfId="0" applyFont="1" applyFill="1" applyAlignment="1">
      <alignment horizontal="center" shrinkToFit="1"/>
    </xf>
    <xf numFmtId="0" fontId="32" fillId="3" borderId="47" xfId="0" applyFont="1" applyFill="1" applyBorder="1" applyAlignment="1">
      <alignment horizontal="center" shrinkToFit="1"/>
    </xf>
    <xf numFmtId="0" fontId="32" fillId="3" borderId="46" xfId="0" applyFont="1" applyFill="1" applyBorder="1" applyAlignment="1">
      <alignment horizontal="center" shrinkToFit="1"/>
    </xf>
    <xf numFmtId="0" fontId="32" fillId="3" borderId="89" xfId="0" applyFont="1" applyFill="1" applyBorder="1" applyAlignment="1">
      <alignment horizontal="center" shrinkToFit="1"/>
    </xf>
    <xf numFmtId="0" fontId="32" fillId="3" borderId="103" xfId="0" applyFont="1" applyFill="1" applyBorder="1" applyAlignment="1">
      <alignment horizontal="center" shrinkToFit="1"/>
    </xf>
    <xf numFmtId="49" fontId="9" fillId="0" borderId="149" xfId="0" applyNumberFormat="1" applyFont="1" applyBorder="1" applyAlignment="1">
      <alignment horizontal="center" vertical="center" wrapText="1"/>
    </xf>
    <xf numFmtId="49" fontId="9" fillId="0" borderId="150" xfId="0" applyNumberFormat="1" applyFont="1" applyBorder="1" applyAlignment="1">
      <alignment horizontal="center" vertical="center" wrapText="1"/>
    </xf>
    <xf numFmtId="0" fontId="31" fillId="0" borderId="134" xfId="0" applyFont="1" applyBorder="1" applyAlignment="1">
      <alignment horizontal="center" vertical="center"/>
    </xf>
    <xf numFmtId="0" fontId="31" fillId="0" borderId="135" xfId="0" applyFont="1" applyBorder="1" applyAlignment="1">
      <alignment horizontal="center" vertical="center"/>
    </xf>
    <xf numFmtId="0" fontId="31" fillId="0" borderId="106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3" borderId="135" xfId="0" applyFont="1" applyFill="1" applyBorder="1" applyAlignment="1">
      <alignment horizontal="center" shrinkToFit="1"/>
    </xf>
    <xf numFmtId="0" fontId="32" fillId="3" borderId="85" xfId="0" applyFont="1" applyFill="1" applyBorder="1" applyAlignment="1">
      <alignment horizontal="center" shrinkToFit="1"/>
    </xf>
    <xf numFmtId="0" fontId="32" fillId="3" borderId="92" xfId="0" applyFont="1" applyFill="1" applyBorder="1" applyAlignment="1">
      <alignment horizontal="center" shrinkToFit="1"/>
    </xf>
    <xf numFmtId="0" fontId="32" fillId="3" borderId="80" xfId="0" applyFont="1" applyFill="1" applyBorder="1" applyAlignment="1">
      <alignment horizontal="center" shrinkToFit="1"/>
    </xf>
    <xf numFmtId="0" fontId="32" fillId="3" borderId="94" xfId="0" applyFont="1" applyFill="1" applyBorder="1" applyAlignment="1">
      <alignment horizontal="center" shrinkToFit="1"/>
    </xf>
    <xf numFmtId="0" fontId="32" fillId="3" borderId="91" xfId="0" applyFont="1" applyFill="1" applyBorder="1" applyAlignment="1">
      <alignment horizontal="center" shrinkToFit="1"/>
    </xf>
    <xf numFmtId="0" fontId="32" fillId="3" borderId="100" xfId="0" applyFont="1" applyFill="1" applyBorder="1" applyAlignment="1">
      <alignment horizontal="center" shrinkToFit="1"/>
    </xf>
    <xf numFmtId="0" fontId="32" fillId="3" borderId="93" xfId="0" applyFont="1" applyFill="1" applyBorder="1" applyAlignment="1">
      <alignment horizontal="center" shrinkToFit="1"/>
    </xf>
    <xf numFmtId="0" fontId="32" fillId="3" borderId="102" xfId="0" applyFont="1" applyFill="1" applyBorder="1" applyAlignment="1">
      <alignment horizontal="center" shrinkToFit="1"/>
    </xf>
    <xf numFmtId="0" fontId="32" fillId="3" borderId="101" xfId="0" applyFont="1" applyFill="1" applyBorder="1" applyAlignment="1">
      <alignment horizontal="center" shrinkToFit="1"/>
    </xf>
    <xf numFmtId="0" fontId="32" fillId="3" borderId="87" xfId="0" applyFont="1" applyFill="1" applyBorder="1" applyAlignment="1">
      <alignment horizontal="center" shrinkToFit="1"/>
    </xf>
    <xf numFmtId="0" fontId="32" fillId="3" borderId="88" xfId="0" applyFont="1" applyFill="1" applyBorder="1" applyAlignment="1">
      <alignment horizontal="center" shrinkToFit="1"/>
    </xf>
    <xf numFmtId="0" fontId="31" fillId="0" borderId="105" xfId="0" applyFont="1" applyBorder="1" applyAlignment="1" applyProtection="1">
      <alignment horizontal="center" vertical="center" wrapText="1"/>
      <protection locked="0"/>
    </xf>
    <xf numFmtId="0" fontId="31" fillId="0" borderId="26" xfId="0" applyFont="1" applyBorder="1" applyAlignment="1" applyProtection="1">
      <alignment horizontal="center" vertical="center" wrapText="1"/>
      <protection locked="0"/>
    </xf>
    <xf numFmtId="0" fontId="31" fillId="0" borderId="32" xfId="0" applyFont="1" applyBorder="1" applyAlignment="1" applyProtection="1">
      <alignment horizontal="center" vertical="center" wrapText="1"/>
      <protection locked="0"/>
    </xf>
    <xf numFmtId="0" fontId="31" fillId="0" borderId="106" xfId="0" applyFont="1" applyBorder="1" applyAlignment="1" applyProtection="1">
      <alignment horizontal="center" vertical="center" wrapText="1"/>
      <protection locked="0"/>
    </xf>
    <xf numFmtId="0" fontId="31" fillId="0" borderId="29" xfId="0" applyFont="1" applyBorder="1" applyAlignment="1" applyProtection="1">
      <alignment horizontal="center" vertical="center" wrapText="1"/>
      <protection locked="0"/>
    </xf>
    <xf numFmtId="0" fontId="31" fillId="0" borderId="30" xfId="0" applyFont="1" applyBorder="1" applyAlignment="1" applyProtection="1">
      <alignment horizontal="center" vertical="center" wrapText="1"/>
      <protection locked="0"/>
    </xf>
    <xf numFmtId="0" fontId="33" fillId="3" borderId="100" xfId="0" applyFont="1" applyFill="1" applyBorder="1" applyAlignment="1">
      <alignment horizontal="center"/>
    </xf>
    <xf numFmtId="0" fontId="33" fillId="3" borderId="85" xfId="0" applyFont="1" applyFill="1" applyBorder="1" applyAlignment="1">
      <alignment horizontal="center"/>
    </xf>
    <xf numFmtId="0" fontId="33" fillId="3" borderId="86" xfId="0" applyFont="1" applyFill="1" applyBorder="1" applyAlignment="1">
      <alignment horizontal="center"/>
    </xf>
    <xf numFmtId="0" fontId="33" fillId="3" borderId="0" xfId="0" applyFont="1" applyFill="1" applyAlignment="1">
      <alignment horizontal="center"/>
    </xf>
    <xf numFmtId="0" fontId="33" fillId="3" borderId="90" xfId="0" applyFont="1" applyFill="1" applyBorder="1" applyAlignment="1">
      <alignment horizontal="center"/>
    </xf>
    <xf numFmtId="0" fontId="33" fillId="3" borderId="84" xfId="0" applyFont="1" applyFill="1" applyBorder="1" applyAlignment="1">
      <alignment horizontal="center"/>
    </xf>
    <xf numFmtId="0" fontId="33" fillId="3" borderId="87" xfId="0" applyFont="1" applyFill="1" applyBorder="1" applyAlignment="1">
      <alignment horizontal="center"/>
    </xf>
    <xf numFmtId="0" fontId="33" fillId="3" borderId="80" xfId="0" applyFont="1" applyFill="1" applyBorder="1" applyAlignment="1">
      <alignment horizontal="center"/>
    </xf>
    <xf numFmtId="0" fontId="33" fillId="3" borderId="102" xfId="0" applyFont="1" applyFill="1" applyBorder="1" applyAlignment="1">
      <alignment horizontal="center"/>
    </xf>
    <xf numFmtId="0" fontId="33" fillId="3" borderId="101" xfId="0" applyFont="1" applyFill="1" applyBorder="1" applyAlignment="1">
      <alignment horizontal="center"/>
    </xf>
    <xf numFmtId="0" fontId="33" fillId="3" borderId="88" xfId="0" applyFont="1" applyFill="1" applyBorder="1" applyAlignment="1">
      <alignment horizontal="center"/>
    </xf>
    <xf numFmtId="49" fontId="9" fillId="0" borderId="25" xfId="0" applyNumberFormat="1" applyFont="1" applyBorder="1" applyAlignment="1">
      <alignment horizontal="center" vertical="center" wrapText="1"/>
    </xf>
    <xf numFmtId="49" fontId="9" fillId="0" borderId="160" xfId="0" applyNumberFormat="1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1" fillId="0" borderId="110" xfId="0" applyFont="1" applyBorder="1" applyAlignment="1" applyProtection="1">
      <alignment horizontal="center" vertical="center" wrapText="1"/>
      <protection locked="0"/>
    </xf>
    <xf numFmtId="0" fontId="31" fillId="0" borderId="44" xfId="0" applyFont="1" applyBorder="1" applyAlignment="1" applyProtection="1">
      <alignment horizontal="center" vertical="center" wrapText="1"/>
      <protection locked="0"/>
    </xf>
    <xf numFmtId="0" fontId="31" fillId="0" borderId="112" xfId="0" applyFont="1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18" fillId="0" borderId="50" xfId="0" applyFont="1" applyBorder="1" applyAlignment="1" applyProtection="1">
      <alignment horizontal="center" vertical="center" wrapText="1"/>
      <protection locked="0"/>
    </xf>
    <xf numFmtId="0" fontId="18" fillId="0" borderId="145" xfId="0" applyFont="1" applyBorder="1" applyAlignment="1" applyProtection="1">
      <alignment horizontal="center" vertical="center" wrapText="1"/>
      <protection locked="0"/>
    </xf>
    <xf numFmtId="0" fontId="18" fillId="0" borderId="97" xfId="0" applyFont="1" applyBorder="1" applyAlignment="1" applyProtection="1">
      <alignment horizontal="center" vertical="center" wrapText="1"/>
      <protection locked="0"/>
    </xf>
    <xf numFmtId="0" fontId="47" fillId="0" borderId="50" xfId="0" applyFont="1" applyBorder="1" applyAlignment="1" applyProtection="1">
      <alignment horizontal="center" vertical="center" wrapText="1"/>
      <protection locked="0"/>
    </xf>
    <xf numFmtId="0" fontId="47" fillId="0" borderId="145" xfId="0" applyFont="1" applyBorder="1" applyAlignment="1" applyProtection="1">
      <alignment horizontal="center" vertical="center" wrapText="1"/>
      <protection locked="0"/>
    </xf>
    <xf numFmtId="0" fontId="47" fillId="0" borderId="97" xfId="0" applyFont="1" applyBorder="1" applyAlignment="1" applyProtection="1">
      <alignment horizontal="center" vertical="center" wrapText="1"/>
      <protection locked="0"/>
    </xf>
    <xf numFmtId="0" fontId="39" fillId="9" borderId="26" xfId="0" applyFont="1" applyFill="1" applyBorder="1" applyAlignment="1">
      <alignment horizontal="right" vertical="center"/>
    </xf>
    <xf numFmtId="0" fontId="38" fillId="3" borderId="144" xfId="0" applyFont="1" applyFill="1" applyBorder="1" applyAlignment="1">
      <alignment horizontal="center"/>
    </xf>
    <xf numFmtId="0" fontId="38" fillId="3" borderId="10" xfId="0" applyFont="1" applyFill="1" applyBorder="1" applyAlignment="1">
      <alignment horizontal="center"/>
    </xf>
    <xf numFmtId="0" fontId="38" fillId="3" borderId="162" xfId="0" applyFont="1" applyFill="1" applyBorder="1" applyAlignment="1">
      <alignment horizontal="center"/>
    </xf>
    <xf numFmtId="0" fontId="46" fillId="3" borderId="144" xfId="0" applyFont="1" applyFill="1" applyBorder="1" applyAlignment="1">
      <alignment horizontal="center"/>
    </xf>
    <xf numFmtId="0" fontId="46" fillId="3" borderId="10" xfId="0" applyFont="1" applyFill="1" applyBorder="1" applyAlignment="1">
      <alignment horizontal="center"/>
    </xf>
    <xf numFmtId="0" fontId="46" fillId="3" borderId="27" xfId="0" applyFont="1" applyFill="1" applyBorder="1" applyAlignment="1">
      <alignment horizontal="center"/>
    </xf>
  </cellXfs>
  <cellStyles count="2">
    <cellStyle name="Normal" xfId="0" builtinId="0"/>
    <cellStyle name="Normal 2" xfId="1" xr:uid="{E4D01A84-07F9-2441-8E4A-9DD0075FE16A}"/>
  </cellStyles>
  <dxfs count="28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lor theme="0"/>
      </font>
      <fill>
        <patternFill>
          <bgColor rgb="FF7030A0"/>
        </patternFill>
      </fill>
    </dxf>
    <dxf>
      <font>
        <b/>
        <i val="0"/>
        <strike val="0"/>
      </font>
      <fill>
        <patternFill>
          <bgColor rgb="FF00B0F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  <strike val="0"/>
      </font>
      <fill>
        <patternFill>
          <bgColor rgb="FF22FF11"/>
        </patternFill>
      </fill>
    </dxf>
    <dxf>
      <font>
        <b/>
        <i val="0"/>
        <strike val="0"/>
      </font>
      <fill>
        <patternFill>
          <bgColor theme="5" tint="-0.499984740745262"/>
        </patternFill>
      </fill>
    </dxf>
    <dxf>
      <font>
        <b/>
        <i val="0"/>
        <strike val="0"/>
      </font>
      <fill>
        <patternFill>
          <bgColor rgb="FFFDB003"/>
        </patternFill>
      </fill>
    </dxf>
    <dxf>
      <font>
        <b/>
        <i val="0"/>
        <strike val="0"/>
      </font>
      <fill>
        <patternFill>
          <bgColor rgb="FFFFFF00"/>
        </patternFill>
      </fill>
    </dxf>
    <dxf>
      <font>
        <b/>
        <i val="0"/>
        <strike val="0"/>
        <color theme="0"/>
      </font>
      <fill>
        <patternFill>
          <bgColor theme="1" tint="0.3499862666707357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DB003"/>
      <color rgb="FF22FF11"/>
      <color rgb="FFFF9390"/>
      <color rgb="FFFF505D"/>
      <color rgb="FFFF0000"/>
      <color rgb="FFCF0F46"/>
      <color rgb="FFFF6F56"/>
      <color rgb="FF00B7F9"/>
      <color rgb="FFFFA494"/>
      <color rgb="FFF4A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38099</xdr:colOff>
      <xdr:row>3</xdr:row>
      <xdr:rowOff>165100</xdr:rowOff>
    </xdr:from>
    <xdr:to>
      <xdr:col>16</xdr:col>
      <xdr:colOff>608252</xdr:colOff>
      <xdr:row>9</xdr:row>
      <xdr:rowOff>59690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8EC6B9C-49D8-D443-B646-C4FCD176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633199" y="165100"/>
          <a:ext cx="2437053" cy="107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0</xdr:row>
      <xdr:rowOff>12700</xdr:rowOff>
    </xdr:from>
    <xdr:to>
      <xdr:col>6</xdr:col>
      <xdr:colOff>1254606</xdr:colOff>
      <xdr:row>2</xdr:row>
      <xdr:rowOff>63500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B3C7C735-4A9D-D24C-97BE-02AF04A6D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05400" y="12700"/>
          <a:ext cx="1089506" cy="482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0</xdr:row>
      <xdr:rowOff>0</xdr:rowOff>
    </xdr:from>
    <xdr:to>
      <xdr:col>6</xdr:col>
      <xdr:colOff>1544782</xdr:colOff>
      <xdr:row>3</xdr:row>
      <xdr:rowOff>17318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6C94559-920E-4042-A847-1932D1593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37100" y="0"/>
          <a:ext cx="1087582" cy="4999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178195AC-7D30-4D7B-9BD9-B50325EF5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525" y="33746"/>
          <a:ext cx="1042824" cy="466577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40946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A4B91129-6C09-4C7B-8278-E927ADCC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3550" y="10115368"/>
          <a:ext cx="1077531" cy="4665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1DB88A33-079A-4EF7-844F-93677075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525" y="33746"/>
          <a:ext cx="1042824" cy="466577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D68C6CE8-F0FC-4DDA-BFE5-B508E50D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3550" y="10115368"/>
          <a:ext cx="1077531" cy="4665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BADCF5C6-BB6A-4345-A960-E7AD4A421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525" y="33746"/>
          <a:ext cx="1042824" cy="466577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40946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CC6CC427-EE10-4769-B02D-C52CDC28F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3550" y="10115368"/>
          <a:ext cx="1077531" cy="4665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492569</xdr:colOff>
      <xdr:row>3</xdr:row>
      <xdr:rowOff>73603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6E57723F-84AB-49F6-9054-DC212C1FE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525" y="33746"/>
          <a:ext cx="1042824" cy="466577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72696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5EF48CCD-040A-4D83-BB17-479390D3E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3550" y="10115368"/>
          <a:ext cx="1077531" cy="4665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F3083969-5174-4C6E-8EEA-CA7BA3CE8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525" y="33746"/>
          <a:ext cx="1042824" cy="466577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41581</xdr:rowOff>
    </xdr:to>
    <xdr:pic>
      <xdr:nvPicPr>
        <xdr:cNvPr id="10" name="Graphic 9">
          <a:extLst>
            <a:ext uri="{FF2B5EF4-FFF2-40B4-BE49-F238E27FC236}">
              <a16:creationId xmlns:a16="http://schemas.microsoft.com/office/drawing/2014/main" id="{63F6FABE-7A66-42B0-AA18-BAF422D2E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3550" y="10115368"/>
          <a:ext cx="1077531" cy="46657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92DFEB0D-95A4-4234-8560-A2DA72B16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73050" y="31841"/>
          <a:ext cx="1046634" cy="460862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234CF2C-B52A-4AEF-A1B8-93BE132A0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1170" y="10309678"/>
          <a:ext cx="1079436" cy="470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6A1E3C5F-D294-46FE-99C8-F4180D718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73050" y="31841"/>
          <a:ext cx="1046634" cy="460862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DF3DC825-919F-41C8-B483-9FC15D373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1170" y="10309678"/>
          <a:ext cx="1079436" cy="4608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492569</xdr:colOff>
      <xdr:row>3</xdr:row>
      <xdr:rowOff>73603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9DE7008-94C6-4884-93AA-FC92D2FE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73050" y="31841"/>
          <a:ext cx="1046634" cy="460862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72696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CBC5B38-4D4B-4DB5-ACE6-024770F90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1170" y="10309678"/>
          <a:ext cx="1079436" cy="4608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9EE43EE-A23D-4B5D-A18B-0BDB0C1B4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73050" y="31841"/>
          <a:ext cx="1046634" cy="460862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4DC09BB6-EC00-4396-A236-51C974E2F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1170" y="10309678"/>
          <a:ext cx="1079436" cy="4608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549565</xdr:colOff>
      <xdr:row>1</xdr:row>
      <xdr:rowOff>10886</xdr:rowOff>
    </xdr:from>
    <xdr:to>
      <xdr:col>7</xdr:col>
      <xdr:colOff>460819</xdr:colOff>
      <xdr:row>3</xdr:row>
      <xdr:rowOff>41853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B6DF3CD-E485-4DF7-9398-4F832013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73050" y="31841"/>
          <a:ext cx="1046634" cy="460862"/>
        </a:xfrm>
        <a:prstGeom prst="rect">
          <a:avLst/>
        </a:prstGeom>
      </xdr:spPr>
    </xdr:pic>
    <xdr:clientData/>
  </xdr:twoCellAnchor>
  <xdr:twoCellAnchor editAs="oneCell">
    <xdr:from>
      <xdr:col>6</xdr:col>
      <xdr:colOff>499590</xdr:colOff>
      <xdr:row>64</xdr:row>
      <xdr:rowOff>3628</xdr:rowOff>
    </xdr:from>
    <xdr:to>
      <xdr:col>7</xdr:col>
      <xdr:colOff>456981</xdr:colOff>
      <xdr:row>66</xdr:row>
      <xdr:rowOff>40946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36919EA-8EE5-49F0-84AE-F7DB0829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21170" y="10309678"/>
          <a:ext cx="1079436" cy="4608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519549</xdr:colOff>
      <xdr:row>0</xdr:row>
      <xdr:rowOff>8</xdr:rowOff>
    </xdr:from>
    <xdr:to>
      <xdr:col>7</xdr:col>
      <xdr:colOff>489146</xdr:colOff>
      <xdr:row>2</xdr:row>
      <xdr:rowOff>43881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F985846-9250-304B-8E24-314AD33A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18731" y="8"/>
          <a:ext cx="1089506" cy="482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473345</xdr:colOff>
      <xdr:row>0</xdr:row>
      <xdr:rowOff>0</xdr:rowOff>
    </xdr:from>
    <xdr:to>
      <xdr:col>6</xdr:col>
      <xdr:colOff>442942</xdr:colOff>
      <xdr:row>2</xdr:row>
      <xdr:rowOff>43873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E8CAD6A-21D1-0740-9B91-65CAE5B0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60618" y="0"/>
          <a:ext cx="1089506" cy="4826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6E97CA4-F2D2-4AFF-BE7E-AF6ADDCDE78D}" autoFormatId="16" applyNumberFormats="0" applyBorderFormats="0" applyFontFormats="0" applyPatternFormats="0" applyAlignmentFormats="0" applyWidthHeightFormats="0">
  <queryTableRefresh nextId="3">
    <queryTableFields count="2">
      <queryTableField id="1" name="Fixture" tableColumnId="1"/>
      <queryTableField id="2" name="Amp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5C90D788-6EF2-4BDD-9435-D58F620FE006}" autoFormatId="16" applyNumberFormats="0" applyBorderFormats="0" applyFontFormats="0" applyPatternFormats="0" applyAlignmentFormats="0" applyWidthHeightFormats="0">
  <queryTableRefresh nextId="3">
    <queryTableFields count="2">
      <queryTableField id="1" name="Multicore Name" tableColumnId="1"/>
      <queryTableField id="2" name="Col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2F7B050-D21D-44CA-AFD9-2311BAE22797}" autoFormatId="16" applyNumberFormats="0" applyBorderFormats="0" applyFontFormats="0" applyPatternFormats="0" applyAlignmentFormats="0" applyWidthHeightFormats="0">
  <queryTableRefresh nextId="15">
    <queryTableFields count="10">
      <queryTableField id="10" name="Rack Name" tableColumnId="9"/>
      <queryTableField id="13" name="Rack Type" tableColumnId="10"/>
      <queryTableField id="1" name="Rack Number" tableColumnId="1"/>
      <queryTableField id="2" name="Rack Outlet Number" tableColumnId="2"/>
      <queryTableField id="8" name="Combined Rack Number and Outlet" tableColumnId="8"/>
      <queryTableField id="3" name="Multi Name" tableColumnId="3"/>
      <queryTableField id="4" name="Patch Outlet" tableColumnId="4"/>
      <queryTableField id="5" name="Fixture Type" tableColumnId="5"/>
      <queryTableField id="6" name="Fixture Number" tableColumnId="6"/>
      <queryTableField id="7" name="Locatio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481D63-5F4D-4232-A1CA-F4FEC89A8F50}" name="Parameters" displayName="Parameters" ref="A1:C12" totalsRowShown="0" headerRowDxfId="280">
  <autoFilter ref="A1:C12" xr:uid="{98481D63-5F4D-4232-A1CA-F4FEC89A8F50}"/>
  <tableColumns count="3">
    <tableColumn id="1" xr3:uid="{A3BD7D61-CC88-42FC-96FF-1F5CD69017CE}" name="name"/>
    <tableColumn id="2" xr3:uid="{B361BC80-2D07-417D-B57A-9346DBFDFA52}" name="value" dataDxfId="279"/>
    <tableColumn id="3" xr3:uid="{57AA5BD2-083D-4E75-8310-A5D5F908A3FC}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30F59-6A1E-481B-BC52-47276D772883}" name="Fixture_Types" displayName="Fixture_Types" ref="A1:B23" tableType="queryTable" totalsRowShown="0">
  <autoFilter ref="A1:B23" xr:uid="{FD630F59-6A1E-481B-BC52-47276D772883}"/>
  <tableColumns count="2">
    <tableColumn id="1" xr3:uid="{2E97C6EE-04D8-48CC-A43F-E83A62194D90}" uniqueName="1" name="Fixture" queryTableFieldId="1"/>
    <tableColumn id="2" xr3:uid="{9A64DED7-3C85-4698-B263-A4F806506360}" uniqueName="2" name="Amp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5CF922-09B2-4AE6-B97B-0EA59D647AF7}" name="Color_Lookup" displayName="Color_Lookup" ref="A1:B84" tableType="queryTable" totalsRowShown="0">
  <autoFilter ref="A1:B84" xr:uid="{465CF922-09B2-4AE6-B97B-0EA59D647AF7}"/>
  <tableColumns count="2">
    <tableColumn id="1" xr3:uid="{8E8CE8C0-8F9F-4D57-ABD6-C5BBA7A555CA}" uniqueName="1" name="Multicore Name" queryTableFieldId="1"/>
    <tableColumn id="2" xr3:uid="{A49F21BB-3520-40D7-BF54-B2C3F34C855B}" uniqueName="2" name="Color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34F40-AD2B-47DE-BCBF-1B397684BB6F}" name="Power_Patch" displayName="Power_Patch" ref="A1:J445" tableType="queryTable" totalsRowShown="0">
  <autoFilter ref="A1:J445" xr:uid="{66D34F40-AD2B-47DE-BCBF-1B397684BB6F}"/>
  <tableColumns count="10">
    <tableColumn id="9" xr3:uid="{739BCD5F-7902-4DA4-8A7B-477954946433}" uniqueName="9" name="Rack Name" queryTableFieldId="10"/>
    <tableColumn id="10" xr3:uid="{BE8F9F04-2CD5-4F56-82BA-52D0E86EDD06}" uniqueName="10" name="Rack Type" queryTableFieldId="13"/>
    <tableColumn id="1" xr3:uid="{FCE9F9D7-B6E0-455C-82A8-AADBE49F9222}" uniqueName="1" name="Rack Number" queryTableFieldId="1"/>
    <tableColumn id="2" xr3:uid="{7E9B32D2-DEAE-4D8A-904B-578367DB7CFE}" uniqueName="2" name="Rack Outlet Number" queryTableFieldId="2"/>
    <tableColumn id="8" xr3:uid="{C8674A98-6AA7-49A4-B920-4D6EF014B10D}" uniqueName="8" name="Combined Rack Number and Outlet" queryTableFieldId="8"/>
    <tableColumn id="3" xr3:uid="{295EFF17-CB15-4911-B885-E6D14A1D7C03}" uniqueName="3" name="Multi Name" queryTableFieldId="3"/>
    <tableColumn id="4" xr3:uid="{95ADB7F4-9163-4950-B64F-439A19DD7B54}" uniqueName="4" name="Patch Outlet" queryTableFieldId="4"/>
    <tableColumn id="5" xr3:uid="{8561CF34-02F3-4F9E-8DB2-20CBD9BD5A5D}" uniqueName="5" name="Fixture Type" queryTableFieldId="5"/>
    <tableColumn id="6" xr3:uid="{3A572789-E3F2-45E5-8ED7-70871B0E1C7D}" uniqueName="6" name="Fixture Number" queryTableFieldId="6"/>
    <tableColumn id="7" xr3:uid="{96423E86-9A85-4BE7-AEA1-F978484F05F0}" uniqueName="7" name="Loca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5090-DD3E-4642-A73B-BB2E6F449F83}">
  <sheetPr codeName="Sheet1">
    <tabColor rgb="FFFF0000"/>
  </sheetPr>
  <dimension ref="B1:M106"/>
  <sheetViews>
    <sheetView zoomScaleNormal="100" workbookViewId="0">
      <selection activeCell="O22" sqref="O22"/>
    </sheetView>
  </sheetViews>
  <sheetFormatPr defaultColWidth="10.796875" defaultRowHeight="16.2"/>
  <cols>
    <col min="1" max="1" width="2" style="46" customWidth="1"/>
    <col min="2" max="2" width="25.796875" style="46" customWidth="1"/>
    <col min="3" max="3" width="10.796875" style="46" customWidth="1"/>
    <col min="4" max="4" width="2.5" style="46" customWidth="1"/>
    <col min="5" max="5" width="24.19921875" style="46" customWidth="1"/>
    <col min="6" max="6" width="11.5" style="46" customWidth="1"/>
    <col min="7" max="7" width="2.5" style="46" customWidth="1"/>
    <col min="8" max="8" width="24.19921875" style="46" customWidth="1"/>
    <col min="9" max="9" width="10.59765625" style="46" customWidth="1"/>
    <col min="10" max="10" width="2.5" style="46" customWidth="1"/>
    <col min="11" max="11" width="24.19921875" style="46" customWidth="1"/>
    <col min="12" max="12" width="10.796875" style="46" customWidth="1"/>
    <col min="13" max="13" width="2.5" style="46" customWidth="1"/>
    <col min="14" max="14" width="2.796875" style="46" customWidth="1"/>
    <col min="15" max="22" width="10.796875" style="46" customWidth="1"/>
    <col min="23" max="16384" width="10.796875" style="46"/>
  </cols>
  <sheetData>
    <row r="1" spans="2:13" ht="9" customHeight="1" thickBot="1"/>
    <row r="2" spans="2:13" ht="16.8" thickBot="1">
      <c r="B2" s="186" t="s">
        <v>46</v>
      </c>
      <c r="C2" s="265" t="s">
        <v>138</v>
      </c>
      <c r="D2" s="266"/>
      <c r="E2" s="266"/>
      <c r="F2" s="267"/>
    </row>
    <row r="3" spans="2:13" ht="9.9" customHeight="1" thickBot="1"/>
    <row r="4" spans="2:13" ht="22.2">
      <c r="B4" s="259" t="s">
        <v>10</v>
      </c>
      <c r="C4" s="260"/>
      <c r="D4" s="129"/>
      <c r="E4" s="259" t="s">
        <v>11</v>
      </c>
      <c r="F4" s="260"/>
      <c r="G4" s="130"/>
      <c r="H4" s="261" t="s">
        <v>12</v>
      </c>
      <c r="I4" s="262"/>
      <c r="J4" s="130"/>
      <c r="K4" s="263" t="s">
        <v>13</v>
      </c>
      <c r="L4" s="264"/>
      <c r="M4" s="131"/>
    </row>
    <row r="5" spans="2:13">
      <c r="B5" s="190" t="s">
        <v>14</v>
      </c>
      <c r="C5" s="191" t="s">
        <v>6</v>
      </c>
      <c r="D5" s="132"/>
      <c r="E5" s="187" t="s">
        <v>15</v>
      </c>
      <c r="F5" s="188" t="s">
        <v>16</v>
      </c>
      <c r="G5" s="133"/>
      <c r="H5" s="187" t="s">
        <v>17</v>
      </c>
      <c r="I5" s="188" t="s">
        <v>16</v>
      </c>
      <c r="K5" s="187" t="s">
        <v>17</v>
      </c>
      <c r="L5" s="188" t="s">
        <v>16</v>
      </c>
    </row>
    <row r="6" spans="2:13" ht="6" customHeight="1">
      <c r="B6" s="189"/>
      <c r="C6" s="134"/>
      <c r="E6" s="189"/>
      <c r="F6" s="134"/>
      <c r="H6" s="189"/>
      <c r="I6" s="134"/>
      <c r="K6" s="189"/>
      <c r="L6" s="134"/>
    </row>
    <row r="7" spans="2:13">
      <c r="B7" s="135" t="s">
        <v>123</v>
      </c>
      <c r="C7" s="136">
        <v>1.75</v>
      </c>
      <c r="D7" s="137"/>
      <c r="E7" s="138" t="s">
        <v>18</v>
      </c>
      <c r="F7" s="139">
        <v>2.4</v>
      </c>
      <c r="H7" s="140"/>
      <c r="I7" s="134" t="str">
        <f t="shared" ref="I7:I27" si="0">IFERROR(VLOOKUP(H7,ML_FixturesAmps,2,FALSE),"")</f>
        <v/>
      </c>
      <c r="K7" s="140"/>
      <c r="L7" s="134" t="str">
        <f>IFERROR(VLOOKUP(K7,E7:F103,2,FALSE),"")</f>
        <v/>
      </c>
      <c r="M7" s="141"/>
    </row>
    <row r="8" spans="2:13">
      <c r="B8" s="239" t="s">
        <v>124</v>
      </c>
      <c r="C8" s="136">
        <v>3.5</v>
      </c>
      <c r="D8" s="137"/>
      <c r="E8" s="138" t="s">
        <v>20</v>
      </c>
      <c r="F8" s="139">
        <v>3.5</v>
      </c>
      <c r="H8" s="140"/>
      <c r="I8" s="134" t="str">
        <f t="shared" si="0"/>
        <v/>
      </c>
      <c r="K8" s="140"/>
      <c r="L8" s="134" t="str">
        <f t="shared" ref="L8:L40" si="1">IFERROR(VLOOKUP(K8,E8:F104,2,FALSE),"")</f>
        <v/>
      </c>
      <c r="M8" s="141"/>
    </row>
    <row r="9" spans="2:13">
      <c r="B9" s="135" t="s">
        <v>125</v>
      </c>
      <c r="C9" s="136">
        <v>5.25</v>
      </c>
      <c r="D9" s="137"/>
      <c r="E9" s="138" t="s">
        <v>21</v>
      </c>
      <c r="F9" s="143">
        <v>2.5</v>
      </c>
      <c r="H9" s="140"/>
      <c r="I9" s="134" t="str">
        <f t="shared" si="0"/>
        <v/>
      </c>
      <c r="K9" s="140"/>
      <c r="L9" s="134" t="str">
        <f t="shared" si="1"/>
        <v/>
      </c>
      <c r="M9" s="141"/>
    </row>
    <row r="10" spans="2:13">
      <c r="B10" s="140"/>
      <c r="C10" s="142"/>
      <c r="D10" s="137"/>
      <c r="E10" s="138" t="s">
        <v>22</v>
      </c>
      <c r="F10" s="139">
        <v>1.25</v>
      </c>
      <c r="H10" s="140"/>
      <c r="I10" s="134" t="str">
        <f t="shared" si="0"/>
        <v/>
      </c>
      <c r="K10" s="140"/>
      <c r="L10" s="134" t="str">
        <f t="shared" si="1"/>
        <v/>
      </c>
      <c r="M10" s="141"/>
    </row>
    <row r="11" spans="2:13">
      <c r="B11" s="135" t="s">
        <v>92</v>
      </c>
      <c r="C11" s="136">
        <v>7.5</v>
      </c>
      <c r="D11" s="137"/>
      <c r="E11" s="138" t="s">
        <v>23</v>
      </c>
      <c r="F11" s="143">
        <v>2.08</v>
      </c>
      <c r="H11" s="140"/>
      <c r="I11" s="134" t="str">
        <f t="shared" si="0"/>
        <v/>
      </c>
      <c r="K11" s="140"/>
      <c r="L11" s="134" t="str">
        <f t="shared" si="1"/>
        <v/>
      </c>
      <c r="M11" s="141"/>
    </row>
    <row r="12" spans="2:13">
      <c r="B12" s="135" t="s">
        <v>93</v>
      </c>
      <c r="C12" s="136">
        <v>3.4</v>
      </c>
      <c r="D12" s="137"/>
      <c r="E12" s="138" t="s">
        <v>24</v>
      </c>
      <c r="F12" s="139">
        <v>1.04</v>
      </c>
      <c r="H12" s="140"/>
      <c r="I12" s="134" t="str">
        <f t="shared" si="0"/>
        <v/>
      </c>
      <c r="K12" s="140"/>
      <c r="L12" s="134" t="str">
        <f t="shared" si="1"/>
        <v/>
      </c>
      <c r="M12" s="141"/>
    </row>
    <row r="13" spans="2:13">
      <c r="B13" s="135" t="s">
        <v>94</v>
      </c>
      <c r="C13" s="136">
        <v>6.8</v>
      </c>
      <c r="D13" s="137"/>
      <c r="E13" s="138" t="s">
        <v>25</v>
      </c>
      <c r="F13" s="139">
        <v>4.16</v>
      </c>
      <c r="H13" s="140"/>
      <c r="I13" s="134" t="str">
        <f t="shared" si="0"/>
        <v/>
      </c>
      <c r="K13" s="140"/>
      <c r="L13" s="134" t="str">
        <f t="shared" si="1"/>
        <v/>
      </c>
      <c r="M13" s="141"/>
    </row>
    <row r="14" spans="2:13">
      <c r="B14" s="135" t="s">
        <v>126</v>
      </c>
      <c r="C14" s="142">
        <v>10.199999999999999</v>
      </c>
      <c r="D14" s="137"/>
      <c r="E14" s="138" t="s">
        <v>26</v>
      </c>
      <c r="F14" s="139">
        <v>2.08</v>
      </c>
      <c r="H14" s="140"/>
      <c r="I14" s="134" t="str">
        <f t="shared" si="0"/>
        <v/>
      </c>
      <c r="K14" s="140"/>
      <c r="L14" s="134" t="str">
        <f t="shared" si="1"/>
        <v/>
      </c>
      <c r="M14" s="141"/>
    </row>
    <row r="15" spans="2:13">
      <c r="B15" s="144"/>
      <c r="C15" s="145"/>
      <c r="D15" s="137"/>
      <c r="E15" s="138" t="s">
        <v>27</v>
      </c>
      <c r="F15" s="139">
        <v>8.32</v>
      </c>
      <c r="H15" s="140"/>
      <c r="I15" s="134" t="str">
        <f t="shared" si="0"/>
        <v/>
      </c>
      <c r="K15" s="140"/>
      <c r="L15" s="134" t="str">
        <f t="shared" si="1"/>
        <v/>
      </c>
      <c r="M15" s="141"/>
    </row>
    <row r="16" spans="2:13">
      <c r="B16" s="135" t="s">
        <v>101</v>
      </c>
      <c r="C16" s="136">
        <v>3</v>
      </c>
      <c r="D16" s="137"/>
      <c r="E16" s="138" t="s">
        <v>28</v>
      </c>
      <c r="F16" s="139">
        <v>4.16</v>
      </c>
      <c r="H16" s="140"/>
      <c r="I16" s="134" t="str">
        <f t="shared" si="0"/>
        <v/>
      </c>
      <c r="K16" s="140"/>
      <c r="L16" s="134" t="str">
        <f t="shared" si="1"/>
        <v/>
      </c>
      <c r="M16" s="141"/>
    </row>
    <row r="17" spans="2:13">
      <c r="B17" s="135" t="s">
        <v>102</v>
      </c>
      <c r="C17" s="136">
        <v>6</v>
      </c>
      <c r="D17" s="137"/>
      <c r="E17" s="138" t="s">
        <v>29</v>
      </c>
      <c r="F17" s="139">
        <v>16.5</v>
      </c>
      <c r="H17" s="140"/>
      <c r="I17" s="134" t="str">
        <f t="shared" si="0"/>
        <v/>
      </c>
      <c r="K17" s="140"/>
      <c r="L17" s="134" t="str">
        <f t="shared" si="1"/>
        <v/>
      </c>
      <c r="M17" s="141"/>
    </row>
    <row r="18" spans="2:13">
      <c r="B18" s="135" t="s">
        <v>95</v>
      </c>
      <c r="C18" s="136">
        <v>6</v>
      </c>
      <c r="D18" s="137"/>
      <c r="E18" s="138" t="s">
        <v>30</v>
      </c>
      <c r="F18" s="139">
        <v>25</v>
      </c>
      <c r="H18" s="140"/>
      <c r="I18" s="134" t="str">
        <f t="shared" si="0"/>
        <v/>
      </c>
      <c r="K18" s="140"/>
      <c r="L18" s="134" t="str">
        <f t="shared" si="1"/>
        <v/>
      </c>
      <c r="M18" s="141"/>
    </row>
    <row r="19" spans="2:13">
      <c r="B19" s="135" t="s">
        <v>97</v>
      </c>
      <c r="C19" s="136">
        <v>1.5</v>
      </c>
      <c r="D19" s="137"/>
      <c r="E19" s="138" t="s">
        <v>31</v>
      </c>
      <c r="F19" s="139">
        <v>5.5</v>
      </c>
      <c r="H19" s="140"/>
      <c r="I19" s="134" t="str">
        <f t="shared" si="0"/>
        <v/>
      </c>
      <c r="K19" s="140"/>
      <c r="L19" s="134" t="str">
        <f t="shared" si="1"/>
        <v/>
      </c>
      <c r="M19" s="141"/>
    </row>
    <row r="20" spans="2:13">
      <c r="B20" s="135" t="s">
        <v>98</v>
      </c>
      <c r="C20" s="136">
        <v>3</v>
      </c>
      <c r="D20" s="137"/>
      <c r="E20" s="138" t="s">
        <v>32</v>
      </c>
      <c r="F20" s="139">
        <v>11</v>
      </c>
      <c r="H20" s="140"/>
      <c r="I20" s="134" t="str">
        <f t="shared" si="0"/>
        <v/>
      </c>
      <c r="K20" s="140"/>
      <c r="L20" s="134" t="str">
        <f t="shared" si="1"/>
        <v/>
      </c>
      <c r="M20" s="141"/>
    </row>
    <row r="21" spans="2:13">
      <c r="B21" s="135" t="s">
        <v>99</v>
      </c>
      <c r="C21" s="136">
        <v>4.5</v>
      </c>
      <c r="D21" s="137"/>
      <c r="E21" s="138" t="s">
        <v>34</v>
      </c>
      <c r="F21" s="139">
        <v>5.5</v>
      </c>
      <c r="H21" s="140"/>
      <c r="I21" s="134" t="str">
        <f t="shared" si="0"/>
        <v/>
      </c>
      <c r="K21" s="140"/>
      <c r="L21" s="134" t="str">
        <f t="shared" si="1"/>
        <v/>
      </c>
      <c r="M21" s="141"/>
    </row>
    <row r="22" spans="2:13">
      <c r="B22" s="135" t="s">
        <v>96</v>
      </c>
      <c r="C22" s="136">
        <v>2.2000000000000002</v>
      </c>
      <c r="D22" s="137"/>
      <c r="E22" s="138" t="s">
        <v>35</v>
      </c>
      <c r="F22" s="148">
        <v>5.5</v>
      </c>
      <c r="H22" s="140"/>
      <c r="I22" s="134" t="str">
        <f t="shared" si="0"/>
        <v/>
      </c>
      <c r="K22" s="140"/>
      <c r="L22" s="134" t="str">
        <f t="shared" si="1"/>
        <v/>
      </c>
      <c r="M22" s="141"/>
    </row>
    <row r="23" spans="2:13">
      <c r="B23" s="135" t="s">
        <v>100</v>
      </c>
      <c r="C23" s="136">
        <v>4.4000000000000004</v>
      </c>
      <c r="D23" s="137"/>
      <c r="E23" s="149" t="s">
        <v>36</v>
      </c>
      <c r="F23" s="148">
        <v>11</v>
      </c>
      <c r="H23" s="140"/>
      <c r="I23" s="134" t="str">
        <f t="shared" si="0"/>
        <v/>
      </c>
      <c r="K23" s="140"/>
      <c r="L23" s="134" t="str">
        <f t="shared" si="1"/>
        <v/>
      </c>
      <c r="M23" s="141"/>
    </row>
    <row r="24" spans="2:13">
      <c r="B24" s="135" t="s">
        <v>100</v>
      </c>
      <c r="C24" s="136">
        <v>6.6</v>
      </c>
      <c r="D24" s="137"/>
      <c r="E24" s="149" t="s">
        <v>37</v>
      </c>
      <c r="F24" s="148">
        <v>11</v>
      </c>
      <c r="H24" s="140"/>
      <c r="I24" s="134" t="str">
        <f t="shared" si="0"/>
        <v/>
      </c>
      <c r="K24" s="140"/>
      <c r="L24" s="134" t="str">
        <f t="shared" si="1"/>
        <v/>
      </c>
      <c r="M24" s="141"/>
    </row>
    <row r="25" spans="2:13">
      <c r="B25" s="135" t="s">
        <v>110</v>
      </c>
      <c r="C25" s="136">
        <v>1.7</v>
      </c>
      <c r="D25" s="137"/>
      <c r="E25" s="149" t="s">
        <v>38</v>
      </c>
      <c r="F25" s="148">
        <v>5.5</v>
      </c>
      <c r="H25" s="140"/>
      <c r="I25" s="134" t="str">
        <f t="shared" si="0"/>
        <v/>
      </c>
      <c r="K25" s="140"/>
      <c r="L25" s="134" t="str">
        <f t="shared" si="1"/>
        <v/>
      </c>
      <c r="M25" s="141"/>
    </row>
    <row r="26" spans="2:13">
      <c r="B26" s="135" t="s">
        <v>111</v>
      </c>
      <c r="C26" s="136">
        <v>3.4</v>
      </c>
      <c r="D26" s="137"/>
      <c r="E26" s="149" t="s">
        <v>39</v>
      </c>
      <c r="F26" s="148">
        <v>5.5</v>
      </c>
      <c r="H26" s="140"/>
      <c r="I26" s="134" t="str">
        <f t="shared" si="0"/>
        <v/>
      </c>
      <c r="K26" s="150"/>
      <c r="L26" s="134" t="str">
        <f t="shared" si="1"/>
        <v/>
      </c>
      <c r="M26" s="141"/>
    </row>
    <row r="27" spans="2:13">
      <c r="B27" s="135" t="s">
        <v>112</v>
      </c>
      <c r="C27" s="136">
        <v>5.0999999999999996</v>
      </c>
      <c r="D27" s="137"/>
      <c r="E27" s="149" t="s">
        <v>40</v>
      </c>
      <c r="F27" s="148">
        <v>4.7</v>
      </c>
      <c r="H27" s="140"/>
      <c r="I27" s="134" t="str">
        <f t="shared" si="0"/>
        <v/>
      </c>
      <c r="K27" s="140"/>
      <c r="L27" s="134" t="str">
        <f t="shared" si="1"/>
        <v/>
      </c>
      <c r="M27" s="141"/>
    </row>
    <row r="28" spans="2:13">
      <c r="B28" s="135"/>
      <c r="C28" s="136"/>
      <c r="D28" s="137"/>
      <c r="E28" s="149" t="s">
        <v>41</v>
      </c>
      <c r="F28" s="148">
        <v>8.5</v>
      </c>
      <c r="H28" s="140"/>
      <c r="I28" s="134" t="str">
        <f t="shared" ref="I28:I40" si="2">IFERROR(VLOOKUP(H28,ML_FixturesAmps,2,FALSE),"")</f>
        <v/>
      </c>
      <c r="K28" s="151"/>
      <c r="L28" s="134" t="str">
        <f t="shared" si="1"/>
        <v/>
      </c>
      <c r="M28" s="141"/>
    </row>
    <row r="29" spans="2:13">
      <c r="B29" s="135" t="s">
        <v>107</v>
      </c>
      <c r="C29" s="136">
        <v>4</v>
      </c>
      <c r="D29" s="137"/>
      <c r="E29" s="149"/>
      <c r="F29" s="148"/>
      <c r="H29" s="140"/>
      <c r="I29" s="134" t="str">
        <f t="shared" si="2"/>
        <v/>
      </c>
      <c r="J29" s="152"/>
      <c r="K29" s="140"/>
      <c r="L29" s="134" t="str">
        <f t="shared" si="1"/>
        <v/>
      </c>
      <c r="M29" s="141"/>
    </row>
    <row r="30" spans="2:13">
      <c r="B30" s="135" t="s">
        <v>108</v>
      </c>
      <c r="C30" s="136">
        <v>8</v>
      </c>
      <c r="D30" s="137"/>
      <c r="E30" s="149"/>
      <c r="F30" s="148"/>
      <c r="H30" s="140"/>
      <c r="I30" s="134" t="str">
        <f t="shared" si="2"/>
        <v/>
      </c>
      <c r="K30" s="140"/>
      <c r="L30" s="134" t="str">
        <f t="shared" si="1"/>
        <v/>
      </c>
      <c r="M30" s="141"/>
    </row>
    <row r="31" spans="2:13">
      <c r="B31" s="135" t="s">
        <v>109</v>
      </c>
      <c r="C31" s="136">
        <v>12</v>
      </c>
      <c r="D31" s="137"/>
      <c r="E31" s="149"/>
      <c r="F31" s="148"/>
      <c r="H31" s="140"/>
      <c r="I31" s="134" t="str">
        <f t="shared" si="2"/>
        <v/>
      </c>
      <c r="K31" s="140"/>
      <c r="L31" s="134" t="str">
        <f t="shared" si="1"/>
        <v/>
      </c>
    </row>
    <row r="32" spans="2:13">
      <c r="B32" s="135"/>
      <c r="C32" s="136"/>
      <c r="D32" s="137"/>
      <c r="E32" s="140"/>
      <c r="F32" s="153"/>
      <c r="H32" s="140"/>
      <c r="I32" s="134" t="str">
        <f t="shared" si="2"/>
        <v/>
      </c>
      <c r="K32" s="140"/>
      <c r="L32" s="134" t="str">
        <f t="shared" si="1"/>
        <v/>
      </c>
      <c r="M32" s="141"/>
    </row>
    <row r="33" spans="2:13">
      <c r="B33" s="135" t="s">
        <v>119</v>
      </c>
      <c r="C33" s="136">
        <v>1</v>
      </c>
      <c r="D33" s="137"/>
      <c r="E33" s="140"/>
      <c r="F33" s="153"/>
      <c r="H33" s="140"/>
      <c r="I33" s="134" t="str">
        <f t="shared" si="2"/>
        <v/>
      </c>
      <c r="K33" s="140"/>
      <c r="L33" s="134" t="str">
        <f t="shared" si="1"/>
        <v/>
      </c>
      <c r="M33" s="141"/>
    </row>
    <row r="34" spans="2:13">
      <c r="B34" s="135" t="s">
        <v>120</v>
      </c>
      <c r="C34" s="136">
        <v>2</v>
      </c>
      <c r="D34" s="137"/>
      <c r="E34" s="140"/>
      <c r="F34" s="153"/>
      <c r="H34" s="140"/>
      <c r="I34" s="134" t="str">
        <f t="shared" si="2"/>
        <v/>
      </c>
      <c r="K34" s="140"/>
      <c r="L34" s="134" t="str">
        <f t="shared" si="1"/>
        <v/>
      </c>
      <c r="M34" s="141"/>
    </row>
    <row r="35" spans="2:13">
      <c r="B35" s="135" t="s">
        <v>121</v>
      </c>
      <c r="C35" s="136">
        <v>4</v>
      </c>
      <c r="D35" s="137"/>
      <c r="E35" s="140"/>
      <c r="F35" s="153"/>
      <c r="H35" s="140"/>
      <c r="I35" s="134" t="str">
        <f t="shared" si="2"/>
        <v/>
      </c>
      <c r="K35" s="140"/>
      <c r="L35" s="134" t="str">
        <f t="shared" si="1"/>
        <v/>
      </c>
      <c r="M35" s="141"/>
    </row>
    <row r="36" spans="2:13">
      <c r="B36" s="135" t="s">
        <v>122</v>
      </c>
      <c r="C36" s="136">
        <v>6</v>
      </c>
      <c r="D36" s="137"/>
      <c r="E36" s="149"/>
      <c r="F36" s="148"/>
      <c r="H36" s="140"/>
      <c r="I36" s="134" t="str">
        <f t="shared" si="2"/>
        <v/>
      </c>
      <c r="K36" s="140"/>
      <c r="L36" s="134" t="str">
        <f t="shared" si="1"/>
        <v/>
      </c>
      <c r="M36" s="141"/>
    </row>
    <row r="37" spans="2:13">
      <c r="B37" s="135"/>
      <c r="C37" s="136"/>
      <c r="D37" s="137"/>
      <c r="E37" s="149"/>
      <c r="F37" s="148"/>
      <c r="H37" s="140"/>
      <c r="I37" s="134" t="str">
        <f t="shared" si="2"/>
        <v/>
      </c>
      <c r="K37" s="140"/>
      <c r="L37" s="134" t="str">
        <f t="shared" si="1"/>
        <v/>
      </c>
      <c r="M37" s="141"/>
    </row>
    <row r="38" spans="2:13">
      <c r="B38" s="135" t="s">
        <v>115</v>
      </c>
      <c r="C38" s="136">
        <v>1</v>
      </c>
      <c r="D38" s="137"/>
      <c r="E38" s="149"/>
      <c r="F38" s="148"/>
      <c r="H38" s="140"/>
      <c r="I38" s="134" t="str">
        <f t="shared" si="2"/>
        <v/>
      </c>
      <c r="K38" s="140"/>
      <c r="L38" s="134" t="str">
        <f t="shared" si="1"/>
        <v/>
      </c>
      <c r="M38" s="141"/>
    </row>
    <row r="39" spans="2:13">
      <c r="B39" s="135" t="s">
        <v>116</v>
      </c>
      <c r="C39" s="136">
        <v>2</v>
      </c>
      <c r="D39" s="137"/>
      <c r="E39" s="149"/>
      <c r="F39" s="148"/>
      <c r="H39" s="140"/>
      <c r="I39" s="134" t="str">
        <f t="shared" si="2"/>
        <v/>
      </c>
      <c r="K39" s="140"/>
      <c r="L39" s="134" t="str">
        <f>IFERROR(VLOOKUP(K39,E39:F135,2,FALSE),"")</f>
        <v/>
      </c>
      <c r="M39" s="141"/>
    </row>
    <row r="40" spans="2:13" ht="16.8" thickBot="1">
      <c r="B40" s="135" t="s">
        <v>118</v>
      </c>
      <c r="C40" s="136">
        <v>3</v>
      </c>
      <c r="D40" s="137"/>
      <c r="E40" s="149"/>
      <c r="F40" s="148"/>
      <c r="H40" s="150"/>
      <c r="I40" s="243" t="str">
        <f t="shared" si="2"/>
        <v/>
      </c>
      <c r="K40" s="154"/>
      <c r="L40" s="155" t="str">
        <f t="shared" si="1"/>
        <v/>
      </c>
      <c r="M40" s="141"/>
    </row>
    <row r="41" spans="2:13">
      <c r="B41" s="135" t="s">
        <v>117</v>
      </c>
      <c r="C41" s="136">
        <v>4</v>
      </c>
      <c r="D41" s="137"/>
      <c r="E41" s="149"/>
      <c r="F41" s="148"/>
      <c r="H41" s="244" cm="1">
        <f t="array" ref="H41:I62">Fixture_Types[]</f>
        <v>0</v>
      </c>
      <c r="I41" s="245">
        <v>0</v>
      </c>
      <c r="M41" s="141"/>
    </row>
    <row r="42" spans="2:13">
      <c r="B42" s="147"/>
      <c r="C42" s="136"/>
      <c r="D42" s="137"/>
      <c r="E42" s="149"/>
      <c r="F42" s="148"/>
      <c r="H42" s="246">
        <v>0</v>
      </c>
      <c r="I42" s="247">
        <v>0</v>
      </c>
      <c r="M42" s="141"/>
    </row>
    <row r="43" spans="2:13">
      <c r="B43" s="147" t="s">
        <v>71</v>
      </c>
      <c r="C43" s="136">
        <v>5.3</v>
      </c>
      <c r="D43" s="137"/>
      <c r="E43" s="149"/>
      <c r="F43" s="148"/>
      <c r="H43" s="246">
        <v>0</v>
      </c>
      <c r="I43" s="248">
        <v>0</v>
      </c>
      <c r="M43" s="141"/>
    </row>
    <row r="44" spans="2:13">
      <c r="B44" s="147" t="s">
        <v>91</v>
      </c>
      <c r="C44" s="136">
        <v>10.6</v>
      </c>
      <c r="D44" s="137"/>
      <c r="E44" s="149"/>
      <c r="F44" s="148"/>
      <c r="H44" s="246">
        <v>0</v>
      </c>
      <c r="I44" s="247">
        <v>0</v>
      </c>
      <c r="M44" s="141"/>
    </row>
    <row r="45" spans="2:13">
      <c r="B45" s="146" t="s">
        <v>33</v>
      </c>
      <c r="C45" s="145">
        <v>1.7</v>
      </c>
      <c r="D45" s="137"/>
      <c r="E45" s="149"/>
      <c r="F45" s="148"/>
      <c r="H45" s="246">
        <v>0</v>
      </c>
      <c r="I45" s="247">
        <v>0</v>
      </c>
      <c r="M45" s="141"/>
    </row>
    <row r="46" spans="2:13">
      <c r="B46" s="147" t="s">
        <v>54</v>
      </c>
      <c r="C46" s="136">
        <v>3.5</v>
      </c>
      <c r="D46" s="137"/>
      <c r="E46" s="149"/>
      <c r="F46" s="148"/>
      <c r="H46" s="246">
        <v>0</v>
      </c>
      <c r="I46" s="247">
        <v>0</v>
      </c>
      <c r="M46" s="141"/>
    </row>
    <row r="47" spans="2:13">
      <c r="B47" s="135" t="s">
        <v>55</v>
      </c>
      <c r="C47" s="136">
        <v>5.2</v>
      </c>
      <c r="D47" s="156"/>
      <c r="E47" s="149"/>
      <c r="F47" s="148"/>
      <c r="H47" s="246">
        <v>0</v>
      </c>
      <c r="I47" s="247">
        <v>0</v>
      </c>
      <c r="M47" s="141"/>
    </row>
    <row r="48" spans="2:13">
      <c r="B48" s="147" t="s">
        <v>50</v>
      </c>
      <c r="C48" s="136">
        <v>3</v>
      </c>
      <c r="E48" s="157"/>
      <c r="F48" s="158"/>
      <c r="H48" s="246">
        <v>0</v>
      </c>
      <c r="I48" s="247">
        <v>0</v>
      </c>
    </row>
    <row r="49" spans="2:13">
      <c r="B49" s="147" t="s">
        <v>84</v>
      </c>
      <c r="C49" s="145">
        <v>6</v>
      </c>
      <c r="E49" s="140"/>
      <c r="F49" s="143"/>
      <c r="H49" s="246">
        <v>0</v>
      </c>
      <c r="I49" s="247">
        <v>0</v>
      </c>
    </row>
    <row r="50" spans="2:13">
      <c r="B50" s="147" t="s">
        <v>83</v>
      </c>
      <c r="C50" s="136">
        <v>9</v>
      </c>
      <c r="E50" s="140"/>
      <c r="F50" s="143"/>
      <c r="H50" s="246">
        <v>0</v>
      </c>
      <c r="I50" s="247">
        <v>0</v>
      </c>
    </row>
    <row r="51" spans="2:13">
      <c r="B51" s="135" t="s">
        <v>85</v>
      </c>
      <c r="C51" s="136">
        <v>2</v>
      </c>
      <c r="E51" s="140"/>
      <c r="F51" s="143"/>
      <c r="H51" s="246">
        <v>0</v>
      </c>
      <c r="I51" s="249">
        <v>0</v>
      </c>
      <c r="J51" s="241"/>
      <c r="L51" s="241"/>
    </row>
    <row r="52" spans="2:13">
      <c r="B52" s="135" t="s">
        <v>86</v>
      </c>
      <c r="C52" s="136">
        <v>4</v>
      </c>
      <c r="E52" s="140"/>
      <c r="F52" s="143"/>
      <c r="H52" s="246">
        <v>0</v>
      </c>
      <c r="I52" s="249">
        <v>0</v>
      </c>
      <c r="J52" s="241"/>
      <c r="L52" s="241"/>
    </row>
    <row r="53" spans="2:13">
      <c r="B53" s="135" t="s">
        <v>87</v>
      </c>
      <c r="C53" s="136">
        <v>6</v>
      </c>
      <c r="E53" s="140"/>
      <c r="F53" s="143"/>
      <c r="H53" s="246">
        <v>0</v>
      </c>
      <c r="I53" s="247">
        <v>0</v>
      </c>
    </row>
    <row r="54" spans="2:13">
      <c r="B54" s="135" t="s">
        <v>88</v>
      </c>
      <c r="C54" s="136">
        <v>8</v>
      </c>
      <c r="E54" s="140"/>
      <c r="F54" s="143"/>
      <c r="H54" s="246">
        <v>0</v>
      </c>
      <c r="I54" s="247">
        <v>0</v>
      </c>
    </row>
    <row r="55" spans="2:13">
      <c r="B55" s="135" t="s">
        <v>89</v>
      </c>
      <c r="C55" s="145">
        <v>10</v>
      </c>
      <c r="E55" s="140"/>
      <c r="F55" s="143"/>
      <c r="H55" s="246">
        <v>0</v>
      </c>
      <c r="I55" s="247">
        <v>0</v>
      </c>
      <c r="M55" s="141"/>
    </row>
    <row r="56" spans="2:13">
      <c r="B56" s="135"/>
      <c r="C56" s="142"/>
      <c r="E56" s="140"/>
      <c r="F56" s="143"/>
      <c r="H56" s="246">
        <v>0</v>
      </c>
      <c r="I56" s="247">
        <v>0</v>
      </c>
      <c r="M56" s="141"/>
    </row>
    <row r="57" spans="2:13">
      <c r="B57" s="135" t="s">
        <v>77</v>
      </c>
      <c r="C57" s="136">
        <v>5.5</v>
      </c>
      <c r="E57" s="140"/>
      <c r="F57" s="143"/>
      <c r="H57" s="246">
        <v>0</v>
      </c>
      <c r="I57" s="247">
        <v>0</v>
      </c>
      <c r="M57" s="141"/>
    </row>
    <row r="58" spans="2:13">
      <c r="B58" s="135" t="s">
        <v>78</v>
      </c>
      <c r="C58" s="136">
        <v>5.5</v>
      </c>
      <c r="E58" s="140"/>
      <c r="F58" s="143"/>
      <c r="H58" s="246">
        <v>0</v>
      </c>
      <c r="I58" s="247">
        <v>0</v>
      </c>
      <c r="M58" s="141"/>
    </row>
    <row r="59" spans="2:13">
      <c r="B59" s="135" t="s">
        <v>19</v>
      </c>
      <c r="C59" s="136">
        <v>5</v>
      </c>
      <c r="E59" s="140"/>
      <c r="F59" s="143"/>
      <c r="H59" s="246">
        <v>0</v>
      </c>
      <c r="I59" s="247">
        <v>0</v>
      </c>
      <c r="M59" s="141"/>
    </row>
    <row r="60" spans="2:13">
      <c r="B60" s="135" t="s">
        <v>90</v>
      </c>
      <c r="C60" s="142">
        <v>5</v>
      </c>
      <c r="E60" s="140"/>
      <c r="F60" s="143"/>
      <c r="H60" s="246">
        <v>0</v>
      </c>
      <c r="I60" s="247">
        <v>0</v>
      </c>
      <c r="M60" s="141"/>
    </row>
    <row r="61" spans="2:13">
      <c r="B61" s="144" t="s">
        <v>80</v>
      </c>
      <c r="C61" s="145">
        <v>4.5</v>
      </c>
      <c r="E61" s="140"/>
      <c r="F61" s="143"/>
      <c r="H61" s="246">
        <v>0</v>
      </c>
      <c r="I61" s="247">
        <v>0</v>
      </c>
      <c r="M61" s="141"/>
    </row>
    <row r="62" spans="2:13">
      <c r="B62" s="135" t="s">
        <v>79</v>
      </c>
      <c r="C62" s="136">
        <v>9</v>
      </c>
      <c r="E62" s="140"/>
      <c r="F62" s="143"/>
      <c r="H62" s="246">
        <v>0</v>
      </c>
      <c r="I62" s="247">
        <v>0</v>
      </c>
      <c r="M62" s="141"/>
    </row>
    <row r="63" spans="2:13">
      <c r="B63" s="135" t="s">
        <v>75</v>
      </c>
      <c r="C63" s="142">
        <v>1.8</v>
      </c>
      <c r="E63" s="140"/>
      <c r="F63" s="143"/>
      <c r="H63" s="246"/>
      <c r="I63" s="247"/>
      <c r="M63" s="141"/>
    </row>
    <row r="64" spans="2:13">
      <c r="B64" s="135" t="s">
        <v>76</v>
      </c>
      <c r="C64" s="136">
        <v>3.6</v>
      </c>
      <c r="E64" s="140"/>
      <c r="F64" s="143"/>
      <c r="H64" s="246"/>
      <c r="I64" s="247"/>
      <c r="M64" s="141"/>
    </row>
    <row r="65" spans="2:13">
      <c r="B65" s="135" t="s">
        <v>81</v>
      </c>
      <c r="C65" s="142">
        <v>5.4</v>
      </c>
      <c r="E65" s="140"/>
      <c r="F65" s="143"/>
      <c r="H65" s="246"/>
      <c r="I65" s="247"/>
      <c r="M65" s="141"/>
    </row>
    <row r="66" spans="2:13">
      <c r="B66" s="135" t="s">
        <v>82</v>
      </c>
      <c r="C66" s="136">
        <v>7.2</v>
      </c>
      <c r="E66" s="140"/>
      <c r="F66" s="143"/>
      <c r="H66" s="246"/>
      <c r="I66" s="247"/>
      <c r="M66" s="141"/>
    </row>
    <row r="67" spans="2:13">
      <c r="B67" s="135"/>
      <c r="C67" s="136"/>
      <c r="E67" s="140"/>
      <c r="F67" s="143"/>
      <c r="H67" s="246"/>
      <c r="I67" s="247"/>
      <c r="M67" s="141"/>
    </row>
    <row r="68" spans="2:13">
      <c r="B68" s="135" t="s">
        <v>42</v>
      </c>
      <c r="C68" s="136">
        <v>9.5</v>
      </c>
      <c r="E68" s="140"/>
      <c r="F68" s="143"/>
      <c r="H68" s="246"/>
      <c r="I68" s="247"/>
      <c r="M68" s="141"/>
    </row>
    <row r="69" spans="2:13">
      <c r="B69" s="135" t="s">
        <v>43</v>
      </c>
      <c r="C69" s="136">
        <v>8</v>
      </c>
      <c r="E69" s="140"/>
      <c r="F69" s="143"/>
      <c r="H69" s="246"/>
      <c r="I69" s="247"/>
      <c r="M69" s="141"/>
    </row>
    <row r="70" spans="2:13">
      <c r="B70" s="135" t="s">
        <v>44</v>
      </c>
      <c r="C70" s="136">
        <v>9.5</v>
      </c>
      <c r="E70" s="140"/>
      <c r="F70" s="143"/>
      <c r="H70" s="246"/>
      <c r="I70" s="247"/>
      <c r="M70" s="141"/>
    </row>
    <row r="71" spans="2:13">
      <c r="B71" s="135" t="s">
        <v>127</v>
      </c>
      <c r="C71" s="136">
        <v>0.5</v>
      </c>
      <c r="E71" s="140"/>
      <c r="F71" s="143"/>
      <c r="H71" s="246"/>
      <c r="I71" s="247"/>
      <c r="M71" s="141"/>
    </row>
    <row r="72" spans="2:13">
      <c r="B72" s="135"/>
      <c r="C72" s="136"/>
      <c r="E72" s="140"/>
      <c r="F72" s="143"/>
      <c r="H72" s="246"/>
      <c r="I72" s="247"/>
      <c r="M72" s="141"/>
    </row>
    <row r="73" spans="2:13">
      <c r="B73" s="135" t="s">
        <v>113</v>
      </c>
      <c r="C73" s="136">
        <v>6</v>
      </c>
      <c r="E73" s="140"/>
      <c r="F73" s="143"/>
      <c r="H73" s="246"/>
      <c r="I73" s="247"/>
      <c r="M73" s="141"/>
    </row>
    <row r="74" spans="2:13">
      <c r="B74" s="135" t="s">
        <v>114</v>
      </c>
      <c r="C74" s="136">
        <v>1</v>
      </c>
      <c r="E74" s="140"/>
      <c r="F74" s="143"/>
      <c r="H74" s="246"/>
      <c r="I74" s="247"/>
      <c r="M74" s="141"/>
    </row>
    <row r="75" spans="2:13">
      <c r="B75" s="140"/>
      <c r="C75" s="142"/>
      <c r="E75" s="140"/>
      <c r="F75" s="143"/>
      <c r="H75" s="246"/>
      <c r="I75" s="247"/>
      <c r="M75" s="141"/>
    </row>
    <row r="76" spans="2:13">
      <c r="B76" s="135" t="s">
        <v>103</v>
      </c>
      <c r="C76" s="136">
        <v>4.2</v>
      </c>
      <c r="E76" s="140"/>
      <c r="F76" s="143"/>
      <c r="H76" s="246"/>
      <c r="I76" s="247"/>
      <c r="M76" s="141"/>
    </row>
    <row r="77" spans="2:13">
      <c r="B77" s="135" t="s">
        <v>104</v>
      </c>
      <c r="C77" s="136">
        <v>8.4</v>
      </c>
      <c r="E77" s="140"/>
      <c r="F77" s="143"/>
      <c r="H77" s="246"/>
      <c r="I77" s="247"/>
    </row>
    <row r="78" spans="2:13">
      <c r="B78" s="135" t="s">
        <v>105</v>
      </c>
      <c r="C78" s="136">
        <v>5.2</v>
      </c>
      <c r="E78" s="140"/>
      <c r="F78" s="143"/>
      <c r="H78" s="246"/>
      <c r="I78" s="247"/>
    </row>
    <row r="79" spans="2:13">
      <c r="B79" s="135" t="s">
        <v>106</v>
      </c>
      <c r="C79" s="136">
        <v>10.4</v>
      </c>
      <c r="E79" s="140"/>
      <c r="F79" s="143"/>
      <c r="H79" s="246"/>
      <c r="I79" s="247"/>
    </row>
    <row r="80" spans="2:13">
      <c r="B80" s="140"/>
      <c r="C80" s="142"/>
      <c r="E80" s="140"/>
      <c r="F80" s="143"/>
      <c r="H80" s="246"/>
      <c r="I80" s="247"/>
    </row>
    <row r="81" spans="2:13">
      <c r="B81" s="140" t="s">
        <v>45</v>
      </c>
      <c r="C81" s="142">
        <v>1.2</v>
      </c>
      <c r="E81" s="140"/>
      <c r="F81" s="143"/>
      <c r="H81" s="246"/>
      <c r="I81" s="247"/>
      <c r="M81" s="159"/>
    </row>
    <row r="82" spans="2:13">
      <c r="B82" s="140" t="s">
        <v>56</v>
      </c>
      <c r="C82" s="142">
        <v>8</v>
      </c>
      <c r="E82" s="140"/>
      <c r="F82" s="143"/>
      <c r="H82" s="246"/>
      <c r="I82" s="247"/>
    </row>
    <row r="83" spans="2:13">
      <c r="B83" s="140" t="s">
        <v>52</v>
      </c>
      <c r="C83" s="142">
        <v>6.5</v>
      </c>
      <c r="E83" s="140"/>
      <c r="F83" s="143"/>
      <c r="H83" s="246"/>
      <c r="I83" s="247"/>
    </row>
    <row r="84" spans="2:13">
      <c r="B84" s="140" t="s">
        <v>51</v>
      </c>
      <c r="C84" s="142">
        <v>1.9</v>
      </c>
      <c r="E84" s="140"/>
      <c r="F84" s="143"/>
      <c r="H84" s="246"/>
      <c r="I84" s="247"/>
    </row>
    <row r="85" spans="2:13">
      <c r="B85" s="140" t="s">
        <v>53</v>
      </c>
      <c r="C85" s="142">
        <v>6</v>
      </c>
      <c r="E85" s="140"/>
      <c r="F85" s="143"/>
      <c r="H85" s="246"/>
      <c r="I85" s="247"/>
    </row>
    <row r="86" spans="2:13">
      <c r="B86" s="135" t="s">
        <v>103</v>
      </c>
      <c r="C86" s="136">
        <v>4.2</v>
      </c>
      <c r="E86" s="140"/>
      <c r="F86" s="143"/>
      <c r="H86" s="246"/>
      <c r="I86" s="247"/>
      <c r="M86" s="141"/>
    </row>
    <row r="87" spans="2:13">
      <c r="B87" s="135" t="s">
        <v>104</v>
      </c>
      <c r="C87" s="136">
        <v>8.4</v>
      </c>
      <c r="E87" s="140"/>
      <c r="F87" s="143"/>
      <c r="H87" s="246"/>
      <c r="I87" s="247"/>
      <c r="M87" s="141"/>
    </row>
    <row r="88" spans="2:13">
      <c r="B88" s="135" t="s">
        <v>105</v>
      </c>
      <c r="C88" s="136">
        <v>5.2</v>
      </c>
      <c r="E88" s="140"/>
      <c r="F88" s="143"/>
      <c r="H88" s="246"/>
      <c r="I88" s="247"/>
      <c r="M88" s="141"/>
    </row>
    <row r="89" spans="2:13">
      <c r="B89" s="135" t="s">
        <v>106</v>
      </c>
      <c r="C89" s="136">
        <v>10.4</v>
      </c>
      <c r="E89" s="140"/>
      <c r="F89" s="143"/>
      <c r="H89" s="246"/>
      <c r="I89" s="247"/>
      <c r="M89" s="141"/>
    </row>
    <row r="90" spans="2:13">
      <c r="B90" s="135"/>
      <c r="C90" s="136"/>
      <c r="E90" s="140"/>
      <c r="F90" s="143"/>
      <c r="H90" s="246"/>
      <c r="I90" s="247"/>
      <c r="M90" s="141"/>
    </row>
    <row r="91" spans="2:13">
      <c r="B91" s="135"/>
      <c r="C91" s="136"/>
      <c r="E91" s="140"/>
      <c r="F91" s="143"/>
      <c r="H91" s="246"/>
      <c r="I91" s="247"/>
      <c r="M91" s="141"/>
    </row>
    <row r="92" spans="2:13">
      <c r="B92" s="135"/>
      <c r="C92" s="136"/>
      <c r="E92" s="140"/>
      <c r="F92" s="143"/>
      <c r="H92" s="246"/>
      <c r="I92" s="247"/>
      <c r="M92" s="141"/>
    </row>
    <row r="93" spans="2:13">
      <c r="B93" s="135"/>
      <c r="C93" s="136"/>
      <c r="E93" s="140"/>
      <c r="F93" s="143"/>
      <c r="H93" s="246"/>
      <c r="I93" s="247"/>
      <c r="M93" s="141"/>
    </row>
    <row r="94" spans="2:13">
      <c r="B94" s="135"/>
      <c r="C94" s="136"/>
      <c r="E94" s="140"/>
      <c r="F94" s="143"/>
      <c r="H94" s="246"/>
      <c r="I94" s="247"/>
      <c r="M94" s="141"/>
    </row>
    <row r="95" spans="2:13">
      <c r="B95" s="135"/>
      <c r="C95" s="136"/>
      <c r="E95" s="140"/>
      <c r="F95" s="143"/>
      <c r="H95" s="246"/>
      <c r="I95" s="247"/>
      <c r="M95" s="141"/>
    </row>
    <row r="96" spans="2:13">
      <c r="B96" s="140"/>
      <c r="C96" s="142"/>
      <c r="E96" s="140"/>
      <c r="F96" s="143"/>
      <c r="H96" s="246"/>
      <c r="I96" s="247"/>
      <c r="M96" s="141"/>
    </row>
    <row r="97" spans="2:13">
      <c r="B97" s="135"/>
      <c r="C97" s="136"/>
      <c r="E97" s="140"/>
      <c r="F97" s="143"/>
      <c r="H97" s="246"/>
      <c r="I97" s="247"/>
      <c r="M97" s="141"/>
    </row>
    <row r="98" spans="2:13">
      <c r="B98" s="135"/>
      <c r="C98" s="136"/>
      <c r="E98" s="140"/>
      <c r="F98" s="143"/>
      <c r="H98" s="246"/>
      <c r="I98" s="247"/>
      <c r="M98" s="141"/>
    </row>
    <row r="99" spans="2:13">
      <c r="B99" s="135"/>
      <c r="C99" s="136"/>
      <c r="E99" s="140"/>
      <c r="F99" s="143"/>
      <c r="H99" s="246"/>
      <c r="I99" s="247"/>
      <c r="M99" s="141"/>
    </row>
    <row r="100" spans="2:13">
      <c r="B100" s="135"/>
      <c r="C100" s="136"/>
      <c r="E100" s="140"/>
      <c r="F100" s="143"/>
      <c r="H100" s="246"/>
      <c r="I100" s="247"/>
      <c r="M100" s="141"/>
    </row>
    <row r="101" spans="2:13">
      <c r="B101" s="140"/>
      <c r="C101" s="142"/>
      <c r="E101" s="140"/>
      <c r="F101" s="143"/>
      <c r="H101" s="246"/>
      <c r="I101" s="247"/>
      <c r="M101" s="141"/>
    </row>
    <row r="102" spans="2:13">
      <c r="B102" s="140"/>
      <c r="C102" s="142"/>
      <c r="E102" s="140"/>
      <c r="F102" s="143"/>
      <c r="H102" s="246"/>
      <c r="I102" s="247"/>
      <c r="M102" s="141"/>
    </row>
    <row r="103" spans="2:13" ht="16.8" thickBot="1">
      <c r="B103" s="154"/>
      <c r="C103" s="160"/>
      <c r="E103" s="154"/>
      <c r="F103" s="161"/>
      <c r="H103" s="250"/>
      <c r="I103" s="251"/>
      <c r="M103" s="141"/>
    </row>
    <row r="104" spans="2:13">
      <c r="B104" s="192"/>
      <c r="C104" s="193"/>
      <c r="I104" s="42"/>
      <c r="M104" s="141"/>
    </row>
    <row r="106" spans="2:13" ht="15" customHeight="1"/>
  </sheetData>
  <mergeCells count="5">
    <mergeCell ref="B4:C4"/>
    <mergeCell ref="E4:F4"/>
    <mergeCell ref="H4:I4"/>
    <mergeCell ref="K4:L4"/>
    <mergeCell ref="C2:F2"/>
  </mergeCells>
  <conditionalFormatting sqref="L51">
    <cfRule type="expression" dxfId="278" priority="1">
      <formula>_xlfn.XLOOKUP(L51, I51:I52,J51:J52, "NO") = "Red"</formula>
    </cfRule>
  </conditionalFormatting>
  <dataValidations count="2">
    <dataValidation type="list" allowBlank="1" showInputMessage="1" showErrorMessage="1" sqref="K7:K40" xr:uid="{16F4F944-6C9E-454E-A368-905D9D7E8E49}">
      <formula1>$E$6:$E$103</formula1>
    </dataValidation>
    <dataValidation type="list" allowBlank="1" showInputMessage="1" showErrorMessage="1" sqref="H7:H40" xr:uid="{727033E3-535B-E448-925C-997815E1FEE3}">
      <formula1>$B$6:$B$103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E195-79E6-3D46-8E2A-AC8D7FF1584B}">
  <dimension ref="A1:G51"/>
  <sheetViews>
    <sheetView zoomScaleNormal="100" zoomScaleSheetLayoutView="100" workbookViewId="0">
      <selection activeCell="C5" sqref="C5"/>
    </sheetView>
  </sheetViews>
  <sheetFormatPr defaultColWidth="10.796875" defaultRowHeight="16.2"/>
  <cols>
    <col min="1" max="1" width="5.09765625" style="46" customWidth="1"/>
    <col min="2" max="2" width="11.796875" style="46" customWidth="1"/>
    <col min="3" max="3" width="9.09765625" style="46" customWidth="1"/>
    <col min="4" max="4" width="14.19921875" style="46" customWidth="1"/>
    <col min="5" max="5" width="10.59765625" style="46" customWidth="1"/>
    <col min="6" max="6" width="14.09765625" style="46" customWidth="1"/>
    <col min="7" max="7" width="17.3984375" style="46" customWidth="1"/>
    <col min="8" max="8" width="10.796875" style="46" customWidth="1"/>
    <col min="9" max="16384" width="10.796875" style="46"/>
  </cols>
  <sheetData>
    <row r="1" spans="1:7" ht="17.100000000000001" customHeight="1" thickBot="1">
      <c r="A1" s="91"/>
      <c r="B1" s="92"/>
      <c r="C1" s="273" t="s">
        <v>64</v>
      </c>
      <c r="D1" s="274"/>
      <c r="E1" s="274"/>
      <c r="F1" s="275"/>
      <c r="G1" s="93"/>
    </row>
    <row r="2" spans="1:7" ht="17.100000000000001" customHeight="1" thickBot="1">
      <c r="A2" s="268" t="s">
        <v>46</v>
      </c>
      <c r="B2" s="269"/>
      <c r="C2" s="270" t="str">
        <f>Fixtures!C2</f>
        <v>Untitled Show</v>
      </c>
      <c r="D2" s="271"/>
      <c r="E2" s="271"/>
      <c r="F2" s="272"/>
      <c r="G2" s="94"/>
    </row>
    <row r="3" spans="1:7" ht="6.9" customHeight="1" thickBot="1">
      <c r="A3" s="89"/>
      <c r="B3" s="89"/>
      <c r="C3" s="89"/>
      <c r="D3" s="89"/>
      <c r="E3" s="89"/>
      <c r="F3" s="89"/>
      <c r="G3" s="89"/>
    </row>
    <row r="4" spans="1:7" ht="15.9" customHeight="1" thickBot="1">
      <c r="A4" s="95" t="s">
        <v>66</v>
      </c>
      <c r="B4" s="95" t="s">
        <v>65</v>
      </c>
      <c r="C4" s="95" t="s">
        <v>59</v>
      </c>
      <c r="D4" s="95" t="s">
        <v>60</v>
      </c>
      <c r="E4" s="95" t="s">
        <v>61</v>
      </c>
      <c r="F4" s="95" t="s">
        <v>62</v>
      </c>
      <c r="G4" s="95" t="s">
        <v>67</v>
      </c>
    </row>
    <row r="5" spans="1:7" ht="15.9" customHeight="1">
      <c r="A5" s="96"/>
      <c r="B5" s="96"/>
      <c r="C5" s="97"/>
      <c r="D5" s="97"/>
      <c r="E5" s="97"/>
      <c r="F5" s="96"/>
      <c r="G5" s="96"/>
    </row>
    <row r="6" spans="1:7" ht="15.9" customHeight="1">
      <c r="A6" s="98"/>
      <c r="B6" s="98"/>
      <c r="C6" s="99"/>
      <c r="D6" s="99"/>
      <c r="E6" s="98"/>
      <c r="F6" s="98"/>
      <c r="G6" s="98"/>
    </row>
    <row r="7" spans="1:7" ht="15.9" customHeight="1">
      <c r="A7" s="98"/>
      <c r="B7" s="99"/>
      <c r="C7" s="99"/>
      <c r="D7" s="99"/>
      <c r="E7" s="99"/>
      <c r="F7" s="99"/>
      <c r="G7" s="98"/>
    </row>
    <row r="8" spans="1:7" ht="15.9" customHeight="1">
      <c r="A8" s="98"/>
      <c r="B8" s="98"/>
      <c r="C8" s="99"/>
      <c r="D8" s="98"/>
      <c r="E8" s="98"/>
      <c r="F8" s="98"/>
      <c r="G8" s="98"/>
    </row>
    <row r="9" spans="1:7" ht="15.9" customHeight="1">
      <c r="A9" s="98"/>
      <c r="B9" s="98"/>
      <c r="C9" s="98"/>
      <c r="D9" s="98"/>
      <c r="E9" s="98"/>
      <c r="F9" s="98"/>
      <c r="G9" s="98"/>
    </row>
    <row r="10" spans="1:7" ht="15.9" customHeight="1">
      <c r="A10" s="98"/>
      <c r="B10" s="98"/>
      <c r="C10" s="98"/>
      <c r="D10" s="98"/>
      <c r="E10" s="98"/>
      <c r="F10" s="98"/>
      <c r="G10" s="98"/>
    </row>
    <row r="11" spans="1:7" ht="15.9" customHeight="1">
      <c r="A11" s="98"/>
      <c r="B11" s="98"/>
      <c r="C11" s="98"/>
      <c r="D11" s="98"/>
      <c r="E11" s="98"/>
      <c r="F11" s="98"/>
      <c r="G11" s="98"/>
    </row>
    <row r="12" spans="1:7" ht="15.9" customHeight="1">
      <c r="A12" s="98"/>
      <c r="B12" s="98"/>
      <c r="C12" s="98"/>
      <c r="D12" s="98"/>
      <c r="E12" s="98"/>
      <c r="F12" s="98"/>
      <c r="G12" s="98"/>
    </row>
    <row r="13" spans="1:7" ht="15.9" customHeight="1">
      <c r="A13" s="98"/>
      <c r="B13" s="98"/>
      <c r="C13" s="98"/>
      <c r="D13" s="98"/>
      <c r="E13" s="98"/>
      <c r="F13" s="98"/>
      <c r="G13" s="98"/>
    </row>
    <row r="14" spans="1:7" ht="15.9" customHeight="1">
      <c r="A14" s="98"/>
      <c r="B14" s="98"/>
      <c r="C14" s="98"/>
      <c r="D14" s="98"/>
      <c r="E14" s="98"/>
      <c r="F14" s="98"/>
      <c r="G14" s="98"/>
    </row>
    <row r="15" spans="1:7" ht="15.9" customHeight="1">
      <c r="A15" s="98"/>
      <c r="B15" s="98"/>
      <c r="C15" s="98"/>
      <c r="D15" s="98"/>
      <c r="E15" s="98"/>
      <c r="F15" s="98"/>
      <c r="G15" s="98"/>
    </row>
    <row r="16" spans="1:7" ht="15.9" customHeight="1">
      <c r="A16" s="98"/>
      <c r="B16" s="98"/>
      <c r="C16" s="98"/>
      <c r="D16" s="98"/>
      <c r="E16" s="98"/>
      <c r="F16" s="98"/>
      <c r="G16" s="98"/>
    </row>
    <row r="17" spans="1:7" ht="15.9" customHeight="1">
      <c r="A17" s="98"/>
      <c r="B17" s="98"/>
      <c r="C17" s="98"/>
      <c r="D17" s="98"/>
      <c r="E17" s="98"/>
      <c r="F17" s="98"/>
      <c r="G17" s="98"/>
    </row>
    <row r="18" spans="1:7" ht="15.9" customHeight="1">
      <c r="A18" s="98"/>
      <c r="B18" s="98"/>
      <c r="C18" s="98"/>
      <c r="D18" s="98"/>
      <c r="E18" s="98"/>
      <c r="F18" s="98"/>
      <c r="G18" s="98"/>
    </row>
    <row r="19" spans="1:7" ht="15.9" customHeight="1">
      <c r="A19" s="98"/>
      <c r="B19" s="98"/>
      <c r="C19" s="98"/>
      <c r="D19" s="98"/>
      <c r="E19" s="98"/>
      <c r="F19" s="98"/>
      <c r="G19" s="98"/>
    </row>
    <row r="20" spans="1:7" ht="15.9" customHeight="1">
      <c r="A20" s="98"/>
      <c r="B20" s="98"/>
      <c r="C20" s="98"/>
      <c r="D20" s="98"/>
      <c r="E20" s="98"/>
      <c r="F20" s="98"/>
      <c r="G20" s="98"/>
    </row>
    <row r="21" spans="1:7" ht="15.9" customHeight="1">
      <c r="A21" s="98"/>
      <c r="B21" s="98"/>
      <c r="C21" s="98"/>
      <c r="D21" s="98"/>
      <c r="E21" s="98"/>
      <c r="F21" s="98"/>
      <c r="G21" s="98"/>
    </row>
    <row r="22" spans="1:7" ht="15.9" customHeight="1">
      <c r="A22" s="98"/>
      <c r="B22" s="98"/>
      <c r="C22" s="98"/>
      <c r="D22" s="98"/>
      <c r="E22" s="98"/>
      <c r="F22" s="98"/>
      <c r="G22" s="98"/>
    </row>
    <row r="23" spans="1:7" ht="15.9" customHeight="1">
      <c r="A23" s="98"/>
      <c r="B23" s="98"/>
      <c r="C23" s="98"/>
      <c r="D23" s="98"/>
      <c r="E23" s="98"/>
      <c r="F23" s="98"/>
      <c r="G23" s="98"/>
    </row>
    <row r="24" spans="1:7" ht="15.9" customHeight="1">
      <c r="A24" s="98"/>
      <c r="B24" s="98"/>
      <c r="C24" s="98"/>
      <c r="D24" s="98"/>
      <c r="E24" s="98"/>
      <c r="F24" s="98"/>
      <c r="G24" s="98"/>
    </row>
    <row r="25" spans="1:7" ht="15.9" customHeight="1">
      <c r="A25" s="98"/>
      <c r="B25" s="98"/>
      <c r="C25" s="98"/>
      <c r="D25" s="98"/>
      <c r="E25" s="98"/>
      <c r="F25" s="98"/>
      <c r="G25" s="98"/>
    </row>
    <row r="26" spans="1:7" ht="15.9" customHeight="1">
      <c r="A26" s="98"/>
      <c r="B26" s="98"/>
      <c r="C26" s="98"/>
      <c r="D26" s="98"/>
      <c r="E26" s="98"/>
      <c r="F26" s="98"/>
      <c r="G26" s="98"/>
    </row>
    <row r="27" spans="1:7" ht="15.9" customHeight="1">
      <c r="A27" s="98"/>
      <c r="B27" s="98"/>
      <c r="C27" s="98"/>
      <c r="D27" s="98"/>
      <c r="E27" s="98"/>
      <c r="F27" s="98"/>
      <c r="G27" s="98"/>
    </row>
    <row r="28" spans="1:7" ht="15.9" customHeight="1">
      <c r="A28" s="98"/>
      <c r="B28" s="98"/>
      <c r="C28" s="98"/>
      <c r="D28" s="98"/>
      <c r="E28" s="98"/>
      <c r="F28" s="98"/>
      <c r="G28" s="98"/>
    </row>
    <row r="29" spans="1:7" ht="15.9" customHeight="1">
      <c r="A29" s="98"/>
      <c r="B29" s="98"/>
      <c r="C29" s="98"/>
      <c r="D29" s="98"/>
      <c r="E29" s="98"/>
      <c r="F29" s="98"/>
      <c r="G29" s="98"/>
    </row>
    <row r="30" spans="1:7" ht="15.9" customHeight="1">
      <c r="A30" s="98"/>
      <c r="B30" s="98"/>
      <c r="C30" s="98"/>
      <c r="D30" s="98"/>
      <c r="E30" s="98"/>
      <c r="F30" s="98"/>
      <c r="G30" s="98"/>
    </row>
    <row r="31" spans="1:7" ht="15.9" customHeight="1">
      <c r="A31" s="98"/>
      <c r="B31" s="98"/>
      <c r="C31" s="98"/>
      <c r="D31" s="98"/>
      <c r="E31" s="98"/>
      <c r="F31" s="98"/>
      <c r="G31" s="98"/>
    </row>
    <row r="32" spans="1:7" ht="15.9" customHeight="1">
      <c r="A32" s="98"/>
      <c r="B32" s="98"/>
      <c r="C32" s="98"/>
      <c r="D32" s="98"/>
      <c r="E32" s="98"/>
      <c r="F32" s="98"/>
      <c r="G32" s="98"/>
    </row>
    <row r="33" spans="1:7" ht="15.9" customHeight="1">
      <c r="A33" s="98"/>
      <c r="B33" s="98"/>
      <c r="C33" s="98"/>
      <c r="D33" s="98"/>
      <c r="E33" s="98"/>
      <c r="F33" s="98"/>
      <c r="G33" s="98"/>
    </row>
    <row r="34" spans="1:7" ht="15.9" customHeight="1">
      <c r="A34" s="98"/>
      <c r="B34" s="98"/>
      <c r="C34" s="98"/>
      <c r="D34" s="98"/>
      <c r="E34" s="98"/>
      <c r="F34" s="98"/>
      <c r="G34" s="98"/>
    </row>
    <row r="35" spans="1:7" ht="15.9" customHeight="1">
      <c r="A35" s="98"/>
      <c r="B35" s="98"/>
      <c r="C35" s="98"/>
      <c r="D35" s="98"/>
      <c r="E35" s="98"/>
      <c r="F35" s="98"/>
      <c r="G35" s="98"/>
    </row>
    <row r="36" spans="1:7" ht="15.9" customHeight="1">
      <c r="A36" s="98"/>
      <c r="B36" s="98"/>
      <c r="C36" s="98"/>
      <c r="D36" s="98"/>
      <c r="E36" s="98"/>
      <c r="F36" s="98"/>
      <c r="G36" s="98"/>
    </row>
    <row r="37" spans="1:7" ht="15.9" customHeight="1">
      <c r="A37" s="98"/>
      <c r="B37" s="98"/>
      <c r="C37" s="98"/>
      <c r="D37" s="98"/>
      <c r="E37" s="98"/>
      <c r="F37" s="98"/>
      <c r="G37" s="98"/>
    </row>
    <row r="38" spans="1:7" ht="15.9" customHeight="1">
      <c r="A38" s="98"/>
      <c r="B38" s="98"/>
      <c r="C38" s="98"/>
      <c r="D38" s="98"/>
      <c r="E38" s="98"/>
      <c r="F38" s="98"/>
      <c r="G38" s="98"/>
    </row>
    <row r="39" spans="1:7" ht="15.9" customHeight="1">
      <c r="A39" s="98"/>
      <c r="B39" s="98"/>
      <c r="C39" s="98"/>
      <c r="D39" s="98"/>
      <c r="E39" s="98"/>
      <c r="F39" s="98"/>
      <c r="G39" s="98"/>
    </row>
    <row r="40" spans="1:7" ht="15.9" customHeight="1">
      <c r="A40" s="98"/>
      <c r="B40" s="98"/>
      <c r="C40" s="98"/>
      <c r="D40" s="98"/>
      <c r="E40" s="98"/>
      <c r="F40" s="98"/>
      <c r="G40" s="98"/>
    </row>
    <row r="41" spans="1:7" ht="15.9" customHeight="1">
      <c r="A41" s="98"/>
      <c r="B41" s="98"/>
      <c r="C41" s="98"/>
      <c r="D41" s="98"/>
      <c r="E41" s="98"/>
      <c r="F41" s="98"/>
      <c r="G41" s="98"/>
    </row>
    <row r="42" spans="1:7" ht="15.9" customHeight="1">
      <c r="A42" s="98"/>
      <c r="B42" s="98"/>
      <c r="C42" s="98"/>
      <c r="D42" s="98"/>
      <c r="E42" s="98"/>
      <c r="F42" s="98"/>
      <c r="G42" s="98"/>
    </row>
    <row r="43" spans="1:7" ht="15.9" customHeight="1">
      <c r="A43" s="98"/>
      <c r="B43" s="98"/>
      <c r="C43" s="98"/>
      <c r="D43" s="98"/>
      <c r="E43" s="98"/>
      <c r="F43" s="98"/>
      <c r="G43" s="98"/>
    </row>
    <row r="44" spans="1:7" ht="15.9" customHeight="1">
      <c r="A44" s="98"/>
      <c r="B44" s="98"/>
      <c r="C44" s="98"/>
      <c r="D44" s="98"/>
      <c r="E44" s="98"/>
      <c r="F44" s="98"/>
      <c r="G44" s="98"/>
    </row>
    <row r="45" spans="1:7" ht="15.9" customHeight="1">
      <c r="A45" s="98"/>
      <c r="B45" s="98"/>
      <c r="C45" s="98"/>
      <c r="D45" s="98"/>
      <c r="E45" s="98"/>
      <c r="F45" s="98"/>
      <c r="G45" s="98"/>
    </row>
    <row r="46" spans="1:7" ht="15.9" customHeight="1">
      <c r="A46" s="98"/>
      <c r="B46" s="98"/>
      <c r="C46" s="98"/>
      <c r="D46" s="98"/>
      <c r="E46" s="98"/>
      <c r="F46" s="98"/>
      <c r="G46" s="98"/>
    </row>
    <row r="47" spans="1:7" ht="15.9" customHeight="1">
      <c r="A47" s="98"/>
      <c r="B47" s="98"/>
      <c r="C47" s="98"/>
      <c r="D47" s="98"/>
      <c r="E47" s="98"/>
      <c r="F47" s="98"/>
      <c r="G47" s="98"/>
    </row>
    <row r="48" spans="1:7" ht="15.9" customHeight="1">
      <c r="A48" s="98"/>
      <c r="B48" s="98"/>
      <c r="C48" s="98"/>
      <c r="D48" s="98"/>
      <c r="E48" s="98"/>
      <c r="F48" s="98"/>
      <c r="G48" s="98"/>
    </row>
    <row r="49" spans="1:7" ht="15.9" customHeight="1">
      <c r="A49" s="98"/>
      <c r="B49" s="98"/>
      <c r="C49" s="98"/>
      <c r="D49" s="98"/>
      <c r="E49" s="98"/>
      <c r="F49" s="98"/>
      <c r="G49" s="98"/>
    </row>
    <row r="50" spans="1:7" ht="23.1" customHeight="1"/>
    <row r="51" spans="1:7" ht="15.9" customHeight="1"/>
  </sheetData>
  <mergeCells count="3">
    <mergeCell ref="A2:B2"/>
    <mergeCell ref="C2:F2"/>
    <mergeCell ref="C1:F1"/>
  </mergeCells>
  <conditionalFormatting sqref="C2:F2">
    <cfRule type="cellIs" dxfId="277" priority="1" operator="equal">
      <formula>0</formula>
    </cfRule>
  </conditionalFormatting>
  <pageMargins left="0.7" right="0.7" top="0.75" bottom="0.75" header="0.3" footer="0.3"/>
  <pageSetup paperSize="9" orientation="portrait" horizontalDpi="0" verticalDpi="0"/>
  <headerFooter>
    <oddHeader>&amp;L&amp;"System Font,Regular"&amp;10&amp;K000000&amp;A&amp;R&amp;"System Font,Regular"&amp;10&amp;K000000&amp;D
&amp;T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3392-8FBC-8140-9F0E-E8E1BE40D5FF}">
  <dimension ref="A1:H74"/>
  <sheetViews>
    <sheetView topLeftCell="A45" zoomScaleNormal="100" zoomScaleSheetLayoutView="100" workbookViewId="0">
      <selection activeCell="C55" sqref="C55"/>
    </sheetView>
  </sheetViews>
  <sheetFormatPr defaultColWidth="0" defaultRowHeight="15.6" zeroHeight="1"/>
  <cols>
    <col min="1" max="1" width="10.796875" style="38" customWidth="1"/>
    <col min="2" max="2" width="4.3984375" style="38" customWidth="1"/>
    <col min="3" max="3" width="24.5" style="38" customWidth="1"/>
    <col min="4" max="4" width="1" style="38" customWidth="1"/>
    <col min="5" max="5" width="10.796875" style="38" customWidth="1"/>
    <col min="6" max="6" width="4.3984375" style="38" customWidth="1"/>
    <col min="7" max="7" width="24.5" style="38" customWidth="1"/>
    <col min="8" max="8" width="1.59765625" style="38" customWidth="1"/>
    <col min="9" max="16384" width="10.796875" style="38" hidden="1"/>
  </cols>
  <sheetData>
    <row r="1" spans="1:7" ht="18" customHeight="1" thickBot="1">
      <c r="A1" s="273" t="s">
        <v>63</v>
      </c>
      <c r="B1" s="274"/>
      <c r="C1" s="274"/>
      <c r="D1" s="274"/>
      <c r="E1" s="274"/>
      <c r="F1" s="275"/>
      <c r="G1" s="206"/>
    </row>
    <row r="2" spans="1:7" ht="15.9" customHeight="1" thickBot="1">
      <c r="A2" s="268" t="s">
        <v>46</v>
      </c>
      <c r="B2" s="269"/>
      <c r="C2" s="270" t="str">
        <f>Fixtures!C2</f>
        <v>Untitled Show</v>
      </c>
      <c r="D2" s="271"/>
      <c r="E2" s="271"/>
      <c r="F2" s="272"/>
      <c r="G2" s="94"/>
    </row>
    <row r="3" spans="1:7" ht="3.9" customHeight="1" thickBot="1">
      <c r="A3" s="100"/>
      <c r="B3" s="101"/>
      <c r="C3" s="101"/>
      <c r="D3" s="89"/>
      <c r="E3" s="101"/>
      <c r="F3" s="101"/>
      <c r="G3" s="205"/>
    </row>
    <row r="4" spans="1:7" ht="15.9" customHeight="1" thickBot="1">
      <c r="A4" s="102" t="s">
        <v>57</v>
      </c>
      <c r="B4" s="276" t="s">
        <v>58</v>
      </c>
      <c r="C4" s="277"/>
      <c r="E4" s="102" t="s">
        <v>57</v>
      </c>
      <c r="F4" s="276" t="s">
        <v>58</v>
      </c>
      <c r="G4" s="277"/>
    </row>
    <row r="5" spans="1:7" ht="15.9" customHeight="1">
      <c r="A5" s="278"/>
      <c r="B5" s="103">
        <v>1</v>
      </c>
      <c r="C5" s="104"/>
      <c r="E5" s="278"/>
      <c r="F5" s="103">
        <v>1</v>
      </c>
      <c r="G5" s="104"/>
    </row>
    <row r="6" spans="1:7" ht="15.9" customHeight="1">
      <c r="A6" s="279"/>
      <c r="B6" s="105">
        <v>2</v>
      </c>
      <c r="C6" s="106"/>
      <c r="E6" s="279"/>
      <c r="F6" s="105">
        <v>2</v>
      </c>
      <c r="G6" s="106"/>
    </row>
    <row r="7" spans="1:7" ht="15.9" customHeight="1">
      <c r="A7" s="279"/>
      <c r="B7" s="105">
        <v>3</v>
      </c>
      <c r="C7" s="106"/>
      <c r="E7" s="279"/>
      <c r="F7" s="105">
        <v>3</v>
      </c>
      <c r="G7" s="106"/>
    </row>
    <row r="8" spans="1:7" ht="15.9" customHeight="1" thickBot="1">
      <c r="A8" s="280"/>
      <c r="B8" s="107">
        <v>4</v>
      </c>
      <c r="C8" s="108"/>
      <c r="E8" s="280"/>
      <c r="F8" s="107">
        <v>4</v>
      </c>
      <c r="G8" s="108"/>
    </row>
    <row r="9" spans="1:7" ht="3.9" customHeight="1" thickBot="1"/>
    <row r="10" spans="1:7" ht="15.9" customHeight="1" thickBot="1">
      <c r="A10" s="102" t="s">
        <v>57</v>
      </c>
      <c r="B10" s="276" t="s">
        <v>58</v>
      </c>
      <c r="C10" s="277"/>
      <c r="E10" s="102" t="s">
        <v>57</v>
      </c>
      <c r="F10" s="276" t="s">
        <v>58</v>
      </c>
      <c r="G10" s="277"/>
    </row>
    <row r="11" spans="1:7" ht="15.9" customHeight="1">
      <c r="A11" s="278"/>
      <c r="B11" s="103">
        <v>1</v>
      </c>
      <c r="C11" s="104"/>
      <c r="E11" s="278"/>
      <c r="F11" s="103">
        <v>1</v>
      </c>
      <c r="G11" s="104"/>
    </row>
    <row r="12" spans="1:7" ht="15.9" customHeight="1">
      <c r="A12" s="279"/>
      <c r="B12" s="105">
        <v>2</v>
      </c>
      <c r="C12" s="106"/>
      <c r="E12" s="279"/>
      <c r="F12" s="105">
        <v>2</v>
      </c>
      <c r="G12" s="106"/>
    </row>
    <row r="13" spans="1:7" ht="15.9" customHeight="1">
      <c r="A13" s="279"/>
      <c r="B13" s="105">
        <v>3</v>
      </c>
      <c r="C13" s="106"/>
      <c r="E13" s="279"/>
      <c r="F13" s="105">
        <v>3</v>
      </c>
      <c r="G13" s="106"/>
    </row>
    <row r="14" spans="1:7" ht="15.9" customHeight="1" thickBot="1">
      <c r="A14" s="280"/>
      <c r="B14" s="107">
        <v>4</v>
      </c>
      <c r="C14" s="108"/>
      <c r="E14" s="280"/>
      <c r="F14" s="107">
        <v>4</v>
      </c>
      <c r="G14" s="108"/>
    </row>
    <row r="15" spans="1:7" ht="3.9" customHeight="1" thickBot="1"/>
    <row r="16" spans="1:7" ht="15.9" customHeight="1" thickBot="1">
      <c r="A16" s="102" t="s">
        <v>57</v>
      </c>
      <c r="B16" s="276" t="s">
        <v>58</v>
      </c>
      <c r="C16" s="277"/>
      <c r="E16" s="102" t="s">
        <v>57</v>
      </c>
      <c r="F16" s="276" t="s">
        <v>58</v>
      </c>
      <c r="G16" s="277"/>
    </row>
    <row r="17" spans="1:7" ht="15.9" customHeight="1">
      <c r="A17" s="278"/>
      <c r="B17" s="103">
        <v>1</v>
      </c>
      <c r="C17" s="104"/>
      <c r="E17" s="278"/>
      <c r="F17" s="103">
        <v>1</v>
      </c>
      <c r="G17" s="104"/>
    </row>
    <row r="18" spans="1:7" ht="15.9" customHeight="1">
      <c r="A18" s="279"/>
      <c r="B18" s="105">
        <v>2</v>
      </c>
      <c r="C18" s="106"/>
      <c r="E18" s="279"/>
      <c r="F18" s="105">
        <v>2</v>
      </c>
      <c r="G18" s="106"/>
    </row>
    <row r="19" spans="1:7" ht="15.9" customHeight="1">
      <c r="A19" s="279"/>
      <c r="B19" s="105">
        <v>3</v>
      </c>
      <c r="C19" s="106"/>
      <c r="E19" s="279"/>
      <c r="F19" s="105">
        <v>3</v>
      </c>
      <c r="G19" s="106"/>
    </row>
    <row r="20" spans="1:7" ht="15.9" customHeight="1" thickBot="1">
      <c r="A20" s="280"/>
      <c r="B20" s="107">
        <v>4</v>
      </c>
      <c r="C20" s="108"/>
      <c r="E20" s="280"/>
      <c r="F20" s="107">
        <v>4</v>
      </c>
      <c r="G20" s="108"/>
    </row>
    <row r="21" spans="1:7" ht="3.9" customHeight="1" thickBot="1"/>
    <row r="22" spans="1:7" ht="15.9" customHeight="1" thickBot="1">
      <c r="A22" s="102" t="s">
        <v>57</v>
      </c>
      <c r="B22" s="276" t="s">
        <v>58</v>
      </c>
      <c r="C22" s="277"/>
      <c r="E22" s="102" t="s">
        <v>57</v>
      </c>
      <c r="F22" s="276" t="s">
        <v>58</v>
      </c>
      <c r="G22" s="277"/>
    </row>
    <row r="23" spans="1:7" ht="15.9" customHeight="1">
      <c r="A23" s="278"/>
      <c r="B23" s="103">
        <v>1</v>
      </c>
      <c r="C23" s="104"/>
      <c r="E23" s="278"/>
      <c r="F23" s="103">
        <v>1</v>
      </c>
      <c r="G23" s="104"/>
    </row>
    <row r="24" spans="1:7" ht="15.9" customHeight="1">
      <c r="A24" s="279"/>
      <c r="B24" s="105">
        <v>2</v>
      </c>
      <c r="C24" s="106"/>
      <c r="E24" s="279"/>
      <c r="F24" s="105">
        <v>2</v>
      </c>
      <c r="G24" s="106"/>
    </row>
    <row r="25" spans="1:7" ht="15.9" customHeight="1">
      <c r="A25" s="279"/>
      <c r="B25" s="105">
        <v>3</v>
      </c>
      <c r="C25" s="106"/>
      <c r="E25" s="279"/>
      <c r="F25" s="105">
        <v>3</v>
      </c>
      <c r="G25" s="106"/>
    </row>
    <row r="26" spans="1:7" ht="15.9" customHeight="1" thickBot="1">
      <c r="A26" s="280"/>
      <c r="B26" s="107">
        <v>4</v>
      </c>
      <c r="C26" s="108"/>
      <c r="E26" s="280"/>
      <c r="F26" s="107">
        <v>4</v>
      </c>
      <c r="G26" s="108"/>
    </row>
    <row r="27" spans="1:7" ht="3.9" customHeight="1" thickBot="1"/>
    <row r="28" spans="1:7" ht="15.9" customHeight="1" thickBot="1">
      <c r="A28" s="102" t="s">
        <v>57</v>
      </c>
      <c r="B28" s="276" t="s">
        <v>58</v>
      </c>
      <c r="C28" s="277"/>
      <c r="E28" s="102" t="s">
        <v>57</v>
      </c>
      <c r="F28" s="276" t="s">
        <v>58</v>
      </c>
      <c r="G28" s="277"/>
    </row>
    <row r="29" spans="1:7" ht="15.9" customHeight="1">
      <c r="A29" s="278"/>
      <c r="B29" s="103">
        <v>1</v>
      </c>
      <c r="C29" s="104"/>
      <c r="E29" s="278"/>
      <c r="F29" s="103">
        <v>1</v>
      </c>
      <c r="G29" s="104"/>
    </row>
    <row r="30" spans="1:7" ht="15.9" customHeight="1">
      <c r="A30" s="279"/>
      <c r="B30" s="105">
        <v>2</v>
      </c>
      <c r="C30" s="106"/>
      <c r="E30" s="279"/>
      <c r="F30" s="105">
        <v>2</v>
      </c>
      <c r="G30" s="106"/>
    </row>
    <row r="31" spans="1:7" ht="15.9" customHeight="1">
      <c r="A31" s="279"/>
      <c r="B31" s="105">
        <v>3</v>
      </c>
      <c r="C31" s="106"/>
      <c r="E31" s="279"/>
      <c r="F31" s="105">
        <v>3</v>
      </c>
      <c r="G31" s="106"/>
    </row>
    <row r="32" spans="1:7" ht="15.9" customHeight="1" thickBot="1">
      <c r="A32" s="280"/>
      <c r="B32" s="107">
        <v>4</v>
      </c>
      <c r="C32" s="108"/>
      <c r="E32" s="280"/>
      <c r="F32" s="107">
        <v>4</v>
      </c>
      <c r="G32" s="108"/>
    </row>
    <row r="33" spans="1:7" ht="3.9" customHeight="1" thickBot="1"/>
    <row r="34" spans="1:7" ht="15.9" customHeight="1" thickBot="1">
      <c r="A34" s="102" t="s">
        <v>57</v>
      </c>
      <c r="B34" s="276" t="s">
        <v>58</v>
      </c>
      <c r="C34" s="277"/>
      <c r="E34" s="102" t="s">
        <v>57</v>
      </c>
      <c r="F34" s="276" t="s">
        <v>58</v>
      </c>
      <c r="G34" s="277"/>
    </row>
    <row r="35" spans="1:7" ht="15.9" customHeight="1">
      <c r="A35" s="278"/>
      <c r="B35" s="103">
        <v>1</v>
      </c>
      <c r="C35" s="104"/>
      <c r="E35" s="278"/>
      <c r="F35" s="103">
        <v>1</v>
      </c>
      <c r="G35" s="104"/>
    </row>
    <row r="36" spans="1:7" ht="15.9" customHeight="1">
      <c r="A36" s="279"/>
      <c r="B36" s="105">
        <v>2</v>
      </c>
      <c r="C36" s="106"/>
      <c r="E36" s="279"/>
      <c r="F36" s="105">
        <v>2</v>
      </c>
      <c r="G36" s="106"/>
    </row>
    <row r="37" spans="1:7" ht="15.9" customHeight="1">
      <c r="A37" s="279"/>
      <c r="B37" s="105">
        <v>3</v>
      </c>
      <c r="C37" s="106"/>
      <c r="E37" s="279"/>
      <c r="F37" s="105">
        <v>3</v>
      </c>
      <c r="G37" s="106"/>
    </row>
    <row r="38" spans="1:7" ht="15.9" customHeight="1" thickBot="1">
      <c r="A38" s="280"/>
      <c r="B38" s="107">
        <v>4</v>
      </c>
      <c r="C38" s="108"/>
      <c r="E38" s="280"/>
      <c r="F38" s="107">
        <v>4</v>
      </c>
      <c r="G38" s="108"/>
    </row>
    <row r="39" spans="1:7" ht="4.5" customHeight="1" thickBot="1"/>
    <row r="40" spans="1:7" ht="15.9" customHeight="1" thickBot="1">
      <c r="A40" s="102" t="s">
        <v>57</v>
      </c>
      <c r="B40" s="276" t="s">
        <v>58</v>
      </c>
      <c r="C40" s="277"/>
      <c r="E40" s="102" t="s">
        <v>57</v>
      </c>
      <c r="F40" s="276" t="s">
        <v>58</v>
      </c>
      <c r="G40" s="277"/>
    </row>
    <row r="41" spans="1:7" ht="15.9" customHeight="1">
      <c r="A41" s="278"/>
      <c r="B41" s="103">
        <v>1</v>
      </c>
      <c r="C41" s="104"/>
      <c r="E41" s="278"/>
      <c r="F41" s="103">
        <v>1</v>
      </c>
      <c r="G41" s="104"/>
    </row>
    <row r="42" spans="1:7" ht="15.9" customHeight="1">
      <c r="A42" s="279"/>
      <c r="B42" s="105">
        <v>2</v>
      </c>
      <c r="C42" s="106"/>
      <c r="E42" s="279"/>
      <c r="F42" s="105">
        <v>2</v>
      </c>
      <c r="G42" s="106"/>
    </row>
    <row r="43" spans="1:7" ht="15.9" customHeight="1">
      <c r="A43" s="279"/>
      <c r="B43" s="105">
        <v>3</v>
      </c>
      <c r="C43" s="106"/>
      <c r="E43" s="279"/>
      <c r="F43" s="105">
        <v>3</v>
      </c>
      <c r="G43" s="106"/>
    </row>
    <row r="44" spans="1:7" ht="15.9" customHeight="1" thickBot="1">
      <c r="A44" s="280"/>
      <c r="B44" s="107">
        <v>4</v>
      </c>
      <c r="C44" s="108"/>
      <c r="E44" s="280"/>
      <c r="F44" s="107">
        <v>4</v>
      </c>
      <c r="G44" s="108"/>
    </row>
    <row r="45" spans="1:7" ht="5.25" customHeight="1" thickBot="1"/>
    <row r="46" spans="1:7" ht="15.9" customHeight="1" thickBot="1">
      <c r="A46" s="102" t="s">
        <v>57</v>
      </c>
      <c r="B46" s="276" t="s">
        <v>58</v>
      </c>
      <c r="C46" s="277"/>
      <c r="E46" s="102" t="s">
        <v>57</v>
      </c>
      <c r="F46" s="276" t="s">
        <v>58</v>
      </c>
      <c r="G46" s="277"/>
    </row>
    <row r="47" spans="1:7" ht="15.9" customHeight="1">
      <c r="A47" s="278"/>
      <c r="B47" s="103">
        <v>1</v>
      </c>
      <c r="C47" s="104"/>
      <c r="E47" s="278"/>
      <c r="F47" s="103">
        <v>1</v>
      </c>
      <c r="G47" s="104"/>
    </row>
    <row r="48" spans="1:7" ht="15.9" customHeight="1">
      <c r="A48" s="279"/>
      <c r="B48" s="105">
        <v>2</v>
      </c>
      <c r="C48" s="106"/>
      <c r="E48" s="279"/>
      <c r="F48" s="105">
        <v>2</v>
      </c>
      <c r="G48" s="106"/>
    </row>
    <row r="49" spans="1:7" ht="15.9" customHeight="1">
      <c r="A49" s="279"/>
      <c r="B49" s="105">
        <v>3</v>
      </c>
      <c r="C49" s="106"/>
      <c r="E49" s="279"/>
      <c r="F49" s="105">
        <v>3</v>
      </c>
      <c r="G49" s="106"/>
    </row>
    <row r="50" spans="1:7" ht="15.9" customHeight="1" thickBot="1">
      <c r="A50" s="280"/>
      <c r="B50" s="107">
        <v>4</v>
      </c>
      <c r="C50" s="108"/>
      <c r="E50" s="280"/>
      <c r="F50" s="107">
        <v>4</v>
      </c>
      <c r="G50" s="108"/>
    </row>
    <row r="51" spans="1:7" ht="4.5" customHeight="1" thickBot="1"/>
    <row r="52" spans="1:7" ht="15.9" customHeight="1" thickBot="1">
      <c r="A52" s="102" t="s">
        <v>57</v>
      </c>
      <c r="B52" s="276" t="s">
        <v>58</v>
      </c>
      <c r="C52" s="277"/>
      <c r="E52" s="102" t="s">
        <v>57</v>
      </c>
      <c r="F52" s="276" t="s">
        <v>58</v>
      </c>
      <c r="G52" s="277"/>
    </row>
    <row r="53" spans="1:7" ht="15.9" customHeight="1">
      <c r="A53" s="278"/>
      <c r="B53" s="103">
        <v>1</v>
      </c>
      <c r="C53" s="104"/>
      <c r="E53" s="278"/>
      <c r="F53" s="103">
        <v>1</v>
      </c>
      <c r="G53" s="104"/>
    </row>
    <row r="54" spans="1:7" ht="15.9" customHeight="1">
      <c r="A54" s="279"/>
      <c r="B54" s="105">
        <v>2</v>
      </c>
      <c r="C54" s="106"/>
      <c r="E54" s="279"/>
      <c r="F54" s="105">
        <v>2</v>
      </c>
      <c r="G54" s="106"/>
    </row>
    <row r="55" spans="1:7" ht="15.9" customHeight="1">
      <c r="A55" s="279"/>
      <c r="B55" s="105">
        <v>3</v>
      </c>
      <c r="C55" s="106"/>
      <c r="E55" s="279"/>
      <c r="F55" s="105">
        <v>3</v>
      </c>
      <c r="G55" s="106"/>
    </row>
    <row r="56" spans="1:7" ht="15.9" customHeight="1" thickBot="1">
      <c r="A56" s="280"/>
      <c r="B56" s="107">
        <v>4</v>
      </c>
      <c r="C56" s="108"/>
      <c r="E56" s="280"/>
      <c r="F56" s="107">
        <v>4</v>
      </c>
      <c r="G56" s="108"/>
    </row>
    <row r="57" spans="1:7" ht="3.9" customHeight="1" thickBot="1"/>
    <row r="58" spans="1:7" ht="15.9" customHeight="1" thickBot="1">
      <c r="A58" s="102" t="s">
        <v>57</v>
      </c>
      <c r="B58" s="276" t="s">
        <v>58</v>
      </c>
      <c r="C58" s="277"/>
      <c r="E58" s="102" t="s">
        <v>57</v>
      </c>
      <c r="F58" s="276" t="s">
        <v>58</v>
      </c>
      <c r="G58" s="277"/>
    </row>
    <row r="59" spans="1:7" ht="15.9" customHeight="1">
      <c r="A59" s="278"/>
      <c r="B59" s="103">
        <v>1</v>
      </c>
      <c r="C59" s="104"/>
      <c r="E59" s="278"/>
      <c r="F59" s="103">
        <v>1</v>
      </c>
      <c r="G59" s="104"/>
    </row>
    <row r="60" spans="1:7" ht="15.9" customHeight="1">
      <c r="A60" s="279"/>
      <c r="B60" s="105">
        <v>2</v>
      </c>
      <c r="C60" s="106"/>
      <c r="E60" s="279"/>
      <c r="F60" s="105">
        <v>2</v>
      </c>
      <c r="G60" s="106"/>
    </row>
    <row r="61" spans="1:7" ht="15.9" customHeight="1">
      <c r="A61" s="279"/>
      <c r="B61" s="105">
        <v>3</v>
      </c>
      <c r="C61" s="106"/>
      <c r="E61" s="279"/>
      <c r="F61" s="105">
        <v>3</v>
      </c>
      <c r="G61" s="106"/>
    </row>
    <row r="62" spans="1:7" ht="15.9" customHeight="1" thickBot="1">
      <c r="A62" s="280"/>
      <c r="B62" s="107">
        <v>4</v>
      </c>
      <c r="C62" s="108"/>
      <c r="E62" s="280"/>
      <c r="F62" s="107">
        <v>4</v>
      </c>
      <c r="G62" s="108"/>
    </row>
    <row r="63" spans="1:7" ht="3.9" customHeight="1" thickBot="1"/>
    <row r="64" spans="1:7" ht="15.9" customHeight="1" thickBot="1">
      <c r="A64" s="102" t="s">
        <v>57</v>
      </c>
      <c r="B64" s="276" t="s">
        <v>58</v>
      </c>
      <c r="C64" s="277"/>
      <c r="E64" s="102" t="s">
        <v>57</v>
      </c>
      <c r="F64" s="276" t="s">
        <v>58</v>
      </c>
      <c r="G64" s="277"/>
    </row>
    <row r="65" spans="1:7" ht="15.9" customHeight="1">
      <c r="A65" s="278"/>
      <c r="B65" s="103">
        <v>1</v>
      </c>
      <c r="C65" s="104"/>
      <c r="E65" s="278"/>
      <c r="F65" s="103">
        <v>1</v>
      </c>
      <c r="G65" s="104"/>
    </row>
    <row r="66" spans="1:7" ht="15.9" customHeight="1">
      <c r="A66" s="279"/>
      <c r="B66" s="105">
        <v>2</v>
      </c>
      <c r="C66" s="106"/>
      <c r="E66" s="279"/>
      <c r="F66" s="105">
        <v>2</v>
      </c>
      <c r="G66" s="106"/>
    </row>
    <row r="67" spans="1:7" ht="15.9" customHeight="1">
      <c r="A67" s="279"/>
      <c r="B67" s="105">
        <v>3</v>
      </c>
      <c r="C67" s="106"/>
      <c r="E67" s="279"/>
      <c r="F67" s="105">
        <v>3</v>
      </c>
      <c r="G67" s="106"/>
    </row>
    <row r="68" spans="1:7" ht="15.9" customHeight="1" thickBot="1">
      <c r="A68" s="280"/>
      <c r="B68" s="107">
        <v>4</v>
      </c>
      <c r="C68" s="108"/>
      <c r="E68" s="280"/>
      <c r="F68" s="107">
        <v>4</v>
      </c>
      <c r="G68" s="108"/>
    </row>
    <row r="69" spans="1:7" ht="3.9" customHeight="1" thickBot="1"/>
    <row r="70" spans="1:7" ht="15.9" customHeight="1" thickBot="1">
      <c r="A70" s="102" t="s">
        <v>57</v>
      </c>
      <c r="B70" s="276" t="s">
        <v>58</v>
      </c>
      <c r="C70" s="277"/>
      <c r="E70" s="102" t="s">
        <v>57</v>
      </c>
      <c r="F70" s="276" t="s">
        <v>58</v>
      </c>
      <c r="G70" s="277"/>
    </row>
    <row r="71" spans="1:7" ht="15.9" customHeight="1">
      <c r="A71" s="278"/>
      <c r="B71" s="103">
        <v>1</v>
      </c>
      <c r="C71" s="104"/>
      <c r="E71" s="278"/>
      <c r="F71" s="103">
        <v>1</v>
      </c>
      <c r="G71" s="104"/>
    </row>
    <row r="72" spans="1:7" ht="15.9" customHeight="1">
      <c r="A72" s="279"/>
      <c r="B72" s="105">
        <v>2</v>
      </c>
      <c r="C72" s="106"/>
      <c r="E72" s="279"/>
      <c r="F72" s="105">
        <v>2</v>
      </c>
      <c r="G72" s="106"/>
    </row>
    <row r="73" spans="1:7" ht="15.9" customHeight="1">
      <c r="A73" s="279"/>
      <c r="B73" s="105">
        <v>3</v>
      </c>
      <c r="C73" s="106"/>
      <c r="E73" s="279"/>
      <c r="F73" s="105">
        <v>3</v>
      </c>
      <c r="G73" s="106"/>
    </row>
    <row r="74" spans="1:7" ht="15.9" customHeight="1" thickBot="1">
      <c r="A74" s="280"/>
      <c r="B74" s="107">
        <v>4</v>
      </c>
      <c r="C74" s="108"/>
      <c r="E74" s="280"/>
      <c r="F74" s="107">
        <v>4</v>
      </c>
      <c r="G74" s="108"/>
    </row>
  </sheetData>
  <mergeCells count="51">
    <mergeCell ref="A53:A56"/>
    <mergeCell ref="E53:E56"/>
    <mergeCell ref="F64:G64"/>
    <mergeCell ref="A65:A68"/>
    <mergeCell ref="E65:E68"/>
    <mergeCell ref="B70:C70"/>
    <mergeCell ref="F70:G70"/>
    <mergeCell ref="A59:A62"/>
    <mergeCell ref="E59:E62"/>
    <mergeCell ref="A71:A74"/>
    <mergeCell ref="E71:E74"/>
    <mergeCell ref="B64:C64"/>
    <mergeCell ref="B34:C34"/>
    <mergeCell ref="F34:G34"/>
    <mergeCell ref="A35:A38"/>
    <mergeCell ref="E35:E38"/>
    <mergeCell ref="B58:C58"/>
    <mergeCell ref="F58:G58"/>
    <mergeCell ref="B40:C40"/>
    <mergeCell ref="F40:G40"/>
    <mergeCell ref="A41:A44"/>
    <mergeCell ref="E41:E44"/>
    <mergeCell ref="B46:C46"/>
    <mergeCell ref="F46:G46"/>
    <mergeCell ref="A47:A50"/>
    <mergeCell ref="E47:E50"/>
    <mergeCell ref="B52:C52"/>
    <mergeCell ref="F52:G52"/>
    <mergeCell ref="A23:A26"/>
    <mergeCell ref="E23:E26"/>
    <mergeCell ref="B28:C28"/>
    <mergeCell ref="F28:G28"/>
    <mergeCell ref="A29:A32"/>
    <mergeCell ref="E29:E32"/>
    <mergeCell ref="B16:C16"/>
    <mergeCell ref="F16:G16"/>
    <mergeCell ref="A17:A20"/>
    <mergeCell ref="E17:E20"/>
    <mergeCell ref="B22:C22"/>
    <mergeCell ref="F22:G22"/>
    <mergeCell ref="A1:F1"/>
    <mergeCell ref="C2:F2"/>
    <mergeCell ref="B10:C10"/>
    <mergeCell ref="F10:G10"/>
    <mergeCell ref="A11:A14"/>
    <mergeCell ref="E11:E14"/>
    <mergeCell ref="B4:C4"/>
    <mergeCell ref="A5:A8"/>
    <mergeCell ref="F4:G4"/>
    <mergeCell ref="E5:E8"/>
    <mergeCell ref="A2:B2"/>
  </mergeCells>
  <conditionalFormatting sqref="C2:F2">
    <cfRule type="cellIs" dxfId="276" priority="1" operator="equal">
      <formula>0</formula>
    </cfRule>
  </conditionalFormatting>
  <pageMargins left="0.7" right="0.7" top="0.75" bottom="0.63888888888888884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DE0D-BB16-4573-BAE3-B6B46AB3168B}">
  <sheetPr>
    <tabColor rgb="FF7030A0"/>
  </sheetPr>
  <dimension ref="A1:C19"/>
  <sheetViews>
    <sheetView topLeftCell="A2" zoomScale="71" zoomScaleNormal="115" workbookViewId="0">
      <selection activeCell="B19" sqref="B19"/>
    </sheetView>
  </sheetViews>
  <sheetFormatPr defaultRowHeight="15.6"/>
  <cols>
    <col min="1" max="1" width="22.09765625" customWidth="1"/>
    <col min="2" max="2" width="47.69921875" style="255" customWidth="1"/>
    <col min="3" max="3" width="61.796875" customWidth="1"/>
  </cols>
  <sheetData>
    <row r="1" spans="1:3">
      <c r="A1" s="252" t="s">
        <v>140</v>
      </c>
      <c r="B1" s="253" t="s">
        <v>141</v>
      </c>
      <c r="C1" s="252" t="s">
        <v>142</v>
      </c>
    </row>
    <row r="2" spans="1:3">
      <c r="A2" t="s">
        <v>143</v>
      </c>
      <c r="B2" s="254" t="str" cm="1">
        <f t="array" aca="1" ref="B2" ca="1">LEFT(CELL("filename"),FIND("[",CELL("filename"),1)-1)</f>
        <v>C:\Users\charl\Documents\Code Projects\sidekick\assets\excel\</v>
      </c>
      <c r="C2" t="s">
        <v>139</v>
      </c>
    </row>
    <row r="3" spans="1:3">
      <c r="A3" t="s">
        <v>145</v>
      </c>
      <c r="B3" s="255" t="s">
        <v>144</v>
      </c>
    </row>
    <row r="4" spans="1:3">
      <c r="A4" t="s">
        <v>146</v>
      </c>
      <c r="B4" s="255">
        <v>4</v>
      </c>
      <c r="C4" t="s">
        <v>147</v>
      </c>
    </row>
    <row r="16" spans="1:3">
      <c r="A16" s="252" t="s">
        <v>148</v>
      </c>
    </row>
    <row r="17" spans="1:2">
      <c r="A17" s="252" t="s">
        <v>149</v>
      </c>
      <c r="B17" s="253" t="s">
        <v>150</v>
      </c>
    </row>
    <row r="18" spans="1:2">
      <c r="A18">
        <v>3</v>
      </c>
      <c r="B18" s="255" t="s">
        <v>151</v>
      </c>
    </row>
    <row r="19" spans="1:2">
      <c r="A19">
        <v>4</v>
      </c>
      <c r="B19" s="255" t="s">
        <v>152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CAAF-3D80-4A73-82B5-4A25BE7B957F}">
  <sheetPr>
    <tabColor rgb="FF7030A0"/>
  </sheetPr>
  <dimension ref="A1:B1"/>
  <sheetViews>
    <sheetView workbookViewId="0">
      <selection activeCell="A14" sqref="A14"/>
    </sheetView>
  </sheetViews>
  <sheetFormatPr defaultRowHeight="15.6"/>
  <cols>
    <col min="1" max="1" width="14.3984375" bestFit="1" customWidth="1"/>
    <col min="2" max="2" width="7.59765625" bestFit="1" customWidth="1"/>
  </cols>
  <sheetData>
    <row r="1" spans="1:2">
      <c r="A1" t="s">
        <v>17</v>
      </c>
      <c r="B1" t="s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C58C-98C5-4C3B-A32E-71923001E554}">
  <sheetPr>
    <tabColor rgb="FF7030A0"/>
  </sheetPr>
  <dimension ref="A1:Q84"/>
  <sheetViews>
    <sheetView workbookViewId="0">
      <selection activeCell="A11" sqref="A11"/>
    </sheetView>
  </sheetViews>
  <sheetFormatPr defaultRowHeight="15.6"/>
  <cols>
    <col min="1" max="1" width="16.5" bestFit="1" customWidth="1"/>
    <col min="2" max="2" width="7.3984375" bestFit="1" customWidth="1"/>
  </cols>
  <sheetData>
    <row r="1" spans="1:17">
      <c r="A1" t="s">
        <v>136</v>
      </c>
      <c r="B1" t="s">
        <v>137</v>
      </c>
    </row>
    <row r="2" spans="1:17">
      <c r="A2" t="s">
        <v>156</v>
      </c>
      <c r="B2" t="s">
        <v>157</v>
      </c>
    </row>
    <row r="3" spans="1:17">
      <c r="A3" t="s">
        <v>158</v>
      </c>
      <c r="B3" t="s">
        <v>157</v>
      </c>
    </row>
    <row r="4" spans="1:17">
      <c r="A4" t="s">
        <v>159</v>
      </c>
      <c r="B4" t="s">
        <v>157</v>
      </c>
    </row>
    <row r="5" spans="1:17">
      <c r="A5" t="s">
        <v>160</v>
      </c>
      <c r="B5" t="s">
        <v>157</v>
      </c>
    </row>
    <row r="6" spans="1:17">
      <c r="A6" t="s">
        <v>161</v>
      </c>
      <c r="B6" t="s">
        <v>157</v>
      </c>
    </row>
    <row r="7" spans="1:17" ht="16.2" thickBot="1">
      <c r="A7" t="s">
        <v>162</v>
      </c>
      <c r="B7" t="s">
        <v>157</v>
      </c>
    </row>
    <row r="8" spans="1:17" ht="16.2" thickBot="1">
      <c r="A8" t="s">
        <v>163</v>
      </c>
      <c r="B8" t="s">
        <v>164</v>
      </c>
      <c r="J8" s="242"/>
    </row>
    <row r="9" spans="1:17">
      <c r="A9" t="s">
        <v>165</v>
      </c>
      <c r="B9" t="s">
        <v>164</v>
      </c>
      <c r="L9" s="281"/>
      <c r="M9" s="281"/>
      <c r="N9" s="281"/>
      <c r="O9" s="281"/>
      <c r="P9" s="281"/>
      <c r="Q9" s="281"/>
    </row>
    <row r="10" spans="1:17">
      <c r="A10" t="s">
        <v>166</v>
      </c>
      <c r="B10" t="s">
        <v>164</v>
      </c>
      <c r="L10" s="281"/>
      <c r="M10" s="281"/>
      <c r="N10" s="281"/>
      <c r="O10" s="281"/>
      <c r="P10" s="281"/>
      <c r="Q10" s="281"/>
    </row>
    <row r="11" spans="1:17">
      <c r="A11" t="s">
        <v>167</v>
      </c>
      <c r="B11" t="s">
        <v>164</v>
      </c>
    </row>
    <row r="12" spans="1:17">
      <c r="A12" t="s">
        <v>168</v>
      </c>
      <c r="B12" t="s">
        <v>169</v>
      </c>
    </row>
    <row r="13" spans="1:17">
      <c r="A13" t="s">
        <v>170</v>
      </c>
      <c r="B13" t="s">
        <v>169</v>
      </c>
    </row>
    <row r="14" spans="1:17">
      <c r="A14" t="s">
        <v>171</v>
      </c>
      <c r="B14" t="s">
        <v>169</v>
      </c>
    </row>
    <row r="15" spans="1:17">
      <c r="A15" t="s">
        <v>172</v>
      </c>
      <c r="B15" t="s">
        <v>173</v>
      </c>
    </row>
    <row r="16" spans="1:17">
      <c r="A16" t="s">
        <v>174</v>
      </c>
      <c r="B16" t="s">
        <v>173</v>
      </c>
    </row>
    <row r="17" spans="1:2">
      <c r="A17" t="s">
        <v>175</v>
      </c>
      <c r="B17" t="s">
        <v>176</v>
      </c>
    </row>
    <row r="18" spans="1:2">
      <c r="A18" t="s">
        <v>177</v>
      </c>
      <c r="B18" t="s">
        <v>176</v>
      </c>
    </row>
    <row r="19" spans="1:2">
      <c r="A19" t="s">
        <v>178</v>
      </c>
      <c r="B19" t="s">
        <v>179</v>
      </c>
    </row>
    <row r="20" spans="1:2">
      <c r="A20" t="s">
        <v>180</v>
      </c>
      <c r="B20" t="s">
        <v>179</v>
      </c>
    </row>
    <row r="21" spans="1:2">
      <c r="A21" t="s">
        <v>181</v>
      </c>
      <c r="B21" t="s">
        <v>179</v>
      </c>
    </row>
    <row r="22" spans="1:2">
      <c r="A22" t="s">
        <v>182</v>
      </c>
      <c r="B22" t="s">
        <v>179</v>
      </c>
    </row>
    <row r="23" spans="1:2">
      <c r="A23" t="s">
        <v>183</v>
      </c>
      <c r="B23" t="s">
        <v>179</v>
      </c>
    </row>
    <row r="24" spans="1:2">
      <c r="A24" t="s">
        <v>184</v>
      </c>
      <c r="B24" t="s">
        <v>179</v>
      </c>
    </row>
    <row r="25" spans="1:2">
      <c r="A25" t="s">
        <v>185</v>
      </c>
      <c r="B25" t="s">
        <v>179</v>
      </c>
    </row>
    <row r="26" spans="1:2">
      <c r="A26" t="s">
        <v>186</v>
      </c>
      <c r="B26" t="s">
        <v>179</v>
      </c>
    </row>
    <row r="27" spans="1:2">
      <c r="A27" t="s">
        <v>187</v>
      </c>
      <c r="B27" t="s">
        <v>173</v>
      </c>
    </row>
    <row r="28" spans="1:2">
      <c r="A28" t="s">
        <v>188</v>
      </c>
      <c r="B28" t="s">
        <v>173</v>
      </c>
    </row>
    <row r="29" spans="1:2">
      <c r="A29" t="s">
        <v>189</v>
      </c>
      <c r="B29" t="s">
        <v>173</v>
      </c>
    </row>
    <row r="30" spans="1:2">
      <c r="A30" t="s">
        <v>190</v>
      </c>
      <c r="B30" t="s">
        <v>173</v>
      </c>
    </row>
    <row r="31" spans="1:2">
      <c r="A31" t="s">
        <v>191</v>
      </c>
      <c r="B31" t="s">
        <v>176</v>
      </c>
    </row>
    <row r="32" spans="1:2">
      <c r="A32" t="s">
        <v>192</v>
      </c>
      <c r="B32" t="s">
        <v>176</v>
      </c>
    </row>
    <row r="33" spans="1:2">
      <c r="A33" t="s">
        <v>193</v>
      </c>
      <c r="B33" t="s">
        <v>176</v>
      </c>
    </row>
    <row r="34" spans="1:2">
      <c r="A34" t="s">
        <v>194</v>
      </c>
      <c r="B34" t="s">
        <v>176</v>
      </c>
    </row>
    <row r="35" spans="1:2">
      <c r="A35" t="s">
        <v>195</v>
      </c>
      <c r="B35" t="s">
        <v>179</v>
      </c>
    </row>
    <row r="36" spans="1:2">
      <c r="A36" t="s">
        <v>196</v>
      </c>
      <c r="B36" t="s">
        <v>179</v>
      </c>
    </row>
    <row r="37" spans="1:2">
      <c r="A37" t="s">
        <v>197</v>
      </c>
      <c r="B37" t="s">
        <v>179</v>
      </c>
    </row>
    <row r="38" spans="1:2">
      <c r="A38" t="s">
        <v>198</v>
      </c>
      <c r="B38" t="s">
        <v>179</v>
      </c>
    </row>
    <row r="39" spans="1:2">
      <c r="A39" t="s">
        <v>199</v>
      </c>
      <c r="B39" t="s">
        <v>179</v>
      </c>
    </row>
    <row r="40" spans="1:2">
      <c r="A40" t="s">
        <v>200</v>
      </c>
      <c r="B40" t="s">
        <v>179</v>
      </c>
    </row>
    <row r="41" spans="1:2">
      <c r="A41" t="s">
        <v>201</v>
      </c>
      <c r="B41" t="s">
        <v>164</v>
      </c>
    </row>
    <row r="42" spans="1:2">
      <c r="A42" t="s">
        <v>202</v>
      </c>
      <c r="B42" t="s">
        <v>164</v>
      </c>
    </row>
    <row r="43" spans="1:2">
      <c r="A43" t="s">
        <v>203</v>
      </c>
      <c r="B43" t="s">
        <v>164</v>
      </c>
    </row>
    <row r="44" spans="1:2">
      <c r="A44" t="s">
        <v>204</v>
      </c>
      <c r="B44" t="s">
        <v>164</v>
      </c>
    </row>
    <row r="45" spans="1:2">
      <c r="A45" t="s">
        <v>205</v>
      </c>
      <c r="B45" t="s">
        <v>173</v>
      </c>
    </row>
    <row r="46" spans="1:2">
      <c r="A46" t="s">
        <v>206</v>
      </c>
      <c r="B46" t="s">
        <v>179</v>
      </c>
    </row>
    <row r="47" spans="1:2">
      <c r="A47" t="s">
        <v>207</v>
      </c>
      <c r="B47" t="s">
        <v>179</v>
      </c>
    </row>
    <row r="48" spans="1:2">
      <c r="A48" t="s">
        <v>208</v>
      </c>
      <c r="B48" t="s">
        <v>179</v>
      </c>
    </row>
    <row r="49" spans="1:2">
      <c r="A49" t="s">
        <v>209</v>
      </c>
      <c r="B49" t="s">
        <v>179</v>
      </c>
    </row>
    <row r="50" spans="1:2">
      <c r="A50" t="s">
        <v>210</v>
      </c>
      <c r="B50" t="s">
        <v>179</v>
      </c>
    </row>
    <row r="51" spans="1:2">
      <c r="A51" t="s">
        <v>211</v>
      </c>
      <c r="B51" t="s">
        <v>179</v>
      </c>
    </row>
    <row r="52" spans="1:2">
      <c r="A52" t="s">
        <v>212</v>
      </c>
      <c r="B52" t="s">
        <v>213</v>
      </c>
    </row>
    <row r="53" spans="1:2">
      <c r="A53" t="s">
        <v>214</v>
      </c>
      <c r="B53" t="s">
        <v>213</v>
      </c>
    </row>
    <row r="54" spans="1:2">
      <c r="A54" t="s">
        <v>215</v>
      </c>
      <c r="B54" t="s">
        <v>213</v>
      </c>
    </row>
    <row r="55" spans="1:2">
      <c r="A55" t="s">
        <v>216</v>
      </c>
      <c r="B55" t="s">
        <v>213</v>
      </c>
    </row>
    <row r="56" spans="1:2">
      <c r="A56" t="s">
        <v>217</v>
      </c>
      <c r="B56" t="s">
        <v>213</v>
      </c>
    </row>
    <row r="57" spans="1:2">
      <c r="A57" t="s">
        <v>218</v>
      </c>
      <c r="B57" t="s">
        <v>213</v>
      </c>
    </row>
    <row r="58" spans="1:2">
      <c r="A58" t="s">
        <v>219</v>
      </c>
      <c r="B58" t="s">
        <v>213</v>
      </c>
    </row>
    <row r="59" spans="1:2">
      <c r="A59" t="s">
        <v>220</v>
      </c>
      <c r="B59" t="s">
        <v>213</v>
      </c>
    </row>
    <row r="60" spans="1:2">
      <c r="A60" t="s">
        <v>221</v>
      </c>
      <c r="B60" t="s">
        <v>213</v>
      </c>
    </row>
    <row r="61" spans="1:2">
      <c r="A61" t="s">
        <v>222</v>
      </c>
      <c r="B61" t="s">
        <v>213</v>
      </c>
    </row>
    <row r="62" spans="1:2">
      <c r="A62" t="s">
        <v>223</v>
      </c>
      <c r="B62" t="s">
        <v>213</v>
      </c>
    </row>
    <row r="63" spans="1:2">
      <c r="A63" t="s">
        <v>224</v>
      </c>
      <c r="B63" t="s">
        <v>213</v>
      </c>
    </row>
    <row r="64" spans="1:2">
      <c r="A64" t="s">
        <v>225</v>
      </c>
      <c r="B64" t="s">
        <v>213</v>
      </c>
    </row>
    <row r="65" spans="1:2">
      <c r="A65" t="s">
        <v>226</v>
      </c>
      <c r="B65" t="s">
        <v>213</v>
      </c>
    </row>
    <row r="66" spans="1:2">
      <c r="A66" t="s">
        <v>227</v>
      </c>
      <c r="B66" t="s">
        <v>213</v>
      </c>
    </row>
    <row r="67" spans="1:2">
      <c r="A67" t="s">
        <v>228</v>
      </c>
      <c r="B67" t="s">
        <v>213</v>
      </c>
    </row>
    <row r="68" spans="1:2">
      <c r="A68" t="s">
        <v>229</v>
      </c>
      <c r="B68" t="s">
        <v>213</v>
      </c>
    </row>
    <row r="69" spans="1:2">
      <c r="A69" t="s">
        <v>230</v>
      </c>
      <c r="B69" t="s">
        <v>213</v>
      </c>
    </row>
    <row r="70" spans="1:2">
      <c r="A70" t="s">
        <v>231</v>
      </c>
      <c r="B70" t="s">
        <v>213</v>
      </c>
    </row>
    <row r="71" spans="1:2">
      <c r="A71" t="s">
        <v>232</v>
      </c>
      <c r="B71" t="s">
        <v>213</v>
      </c>
    </row>
    <row r="72" spans="1:2">
      <c r="A72" t="s">
        <v>233</v>
      </c>
      <c r="B72" t="s">
        <v>213</v>
      </c>
    </row>
    <row r="73" spans="1:2">
      <c r="A73" t="s">
        <v>234</v>
      </c>
      <c r="B73" t="s">
        <v>213</v>
      </c>
    </row>
    <row r="74" spans="1:2">
      <c r="A74" t="s">
        <v>235</v>
      </c>
      <c r="B74" t="s">
        <v>213</v>
      </c>
    </row>
    <row r="75" spans="1:2">
      <c r="A75" t="s">
        <v>236</v>
      </c>
      <c r="B75" t="s">
        <v>213</v>
      </c>
    </row>
    <row r="76" spans="1:2">
      <c r="A76" t="s">
        <v>237</v>
      </c>
      <c r="B76" t="s">
        <v>179</v>
      </c>
    </row>
    <row r="77" spans="1:2">
      <c r="A77" t="s">
        <v>238</v>
      </c>
      <c r="B77" t="s">
        <v>179</v>
      </c>
    </row>
    <row r="78" spans="1:2">
      <c r="A78" t="s">
        <v>239</v>
      </c>
      <c r="B78" t="s">
        <v>179</v>
      </c>
    </row>
    <row r="79" spans="1:2">
      <c r="A79" t="s">
        <v>240</v>
      </c>
      <c r="B79" t="s">
        <v>179</v>
      </c>
    </row>
    <row r="80" spans="1:2">
      <c r="A80" t="s">
        <v>241</v>
      </c>
      <c r="B80" t="s">
        <v>179</v>
      </c>
    </row>
    <row r="81" spans="1:2">
      <c r="A81" t="s">
        <v>242</v>
      </c>
      <c r="B81" t="s">
        <v>179</v>
      </c>
    </row>
    <row r="82" spans="1:2">
      <c r="A82" t="s">
        <v>243</v>
      </c>
      <c r="B82" t="s">
        <v>179</v>
      </c>
    </row>
    <row r="83" spans="1:2">
      <c r="A83" t="s">
        <v>244</v>
      </c>
      <c r="B83" t="s">
        <v>179</v>
      </c>
    </row>
    <row r="84" spans="1:2">
      <c r="A84" t="s">
        <v>245</v>
      </c>
      <c r="B84" t="s">
        <v>179</v>
      </c>
    </row>
  </sheetData>
  <mergeCells count="1">
    <mergeCell ref="L9:Q10"/>
  </mergeCells>
  <conditionalFormatting sqref="J8">
    <cfRule type="expression" dxfId="275" priority="122">
      <formula>_xlfn.XLOOKUP(J8, A84:A161, B84:B161) = "red"</formula>
    </cfRule>
    <cfRule type="expression" dxfId="274" priority="123">
      <formula>_xlfn.XLOOKUP(J8, A84:A161, B84:B161) = "blue"</formula>
    </cfRule>
  </conditionalFormatting>
  <conditionalFormatting sqref="L9">
    <cfRule type="expression" dxfId="273" priority="124">
      <formula>_xlfn.XLOOKUP(L9, $A$84:$A$162,$B$84:$B$162) = "blue"</formula>
    </cfRule>
    <cfRule type="expression" dxfId="272" priority="125">
      <formula>_xlfn.XLOOKUP(L9, C3:C101, D3:D101) = "red"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9EDA-D85B-4B4E-AAE5-F8DDA78E616E}">
  <sheetPr>
    <tabColor rgb="FF7030A0"/>
  </sheetPr>
  <dimension ref="A1:J1"/>
  <sheetViews>
    <sheetView workbookViewId="0">
      <selection activeCell="E27" sqref="E27"/>
    </sheetView>
  </sheetViews>
  <sheetFormatPr defaultRowHeight="15.6"/>
  <cols>
    <col min="1" max="1" width="14.3984375" bestFit="1" customWidth="1"/>
    <col min="2" max="2" width="11.296875" bestFit="1" customWidth="1"/>
    <col min="3" max="3" width="14.09765625" bestFit="1" customWidth="1"/>
    <col min="4" max="4" width="20.19921875" bestFit="1" customWidth="1"/>
    <col min="5" max="5" width="33.296875" bestFit="1" customWidth="1"/>
    <col min="6" max="6" width="12.796875" bestFit="1" customWidth="1"/>
    <col min="7" max="7" width="13.5" bestFit="1" customWidth="1"/>
    <col min="8" max="8" width="14.3984375" bestFit="1" customWidth="1"/>
    <col min="9" max="9" width="16.09765625" bestFit="1" customWidth="1"/>
    <col min="10" max="10" width="19" customWidth="1"/>
  </cols>
  <sheetData>
    <row r="1" spans="1:10">
      <c r="A1" t="s">
        <v>154</v>
      </c>
      <c r="B1" t="s">
        <v>155</v>
      </c>
      <c r="C1" t="s">
        <v>128</v>
      </c>
      <c r="D1" t="s">
        <v>129</v>
      </c>
      <c r="E1" t="s">
        <v>134</v>
      </c>
      <c r="F1" t="s">
        <v>130</v>
      </c>
      <c r="G1" t="s">
        <v>131</v>
      </c>
      <c r="H1" t="s">
        <v>132</v>
      </c>
      <c r="I1" t="s">
        <v>133</v>
      </c>
      <c r="J1" t="s">
        <v>60</v>
      </c>
    </row>
  </sheetData>
  <phoneticPr fontId="4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6163-F176-1540-9A1C-6A0EF4481C5B}">
  <dimension ref="A1:L142"/>
  <sheetViews>
    <sheetView showZeros="0" view="pageBreakPreview" topLeftCell="A18" zoomScale="140" zoomScaleNormal="110" zoomScaleSheetLayoutView="140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1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0" t="str">
        <f>_xlfn.IFNA(_xlfn.XLOOKUP($D$3, Power_Patch[Rack Number],Power_Patch[Rack Name]), "")</f>
        <v/>
      </c>
      <c r="E4" s="411"/>
      <c r="F4" s="412" t="str">
        <f>_xlfn.IFNA(_xlfn.XLOOKUP($D$3, Power_Patch[Rack Number],Power_Patch[Rack Type]), "")</f>
        <v/>
      </c>
      <c r="G4" s="257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1-1</v>
      </c>
    </row>
    <row r="7" spans="1:11" ht="13.35" customHeight="1">
      <c r="A7" s="288"/>
      <c r="B7" s="403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1-2</v>
      </c>
    </row>
    <row r="8" spans="1:11" ht="13.35" customHeight="1">
      <c r="A8" s="288"/>
      <c r="B8" s="404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1-3</v>
      </c>
    </row>
    <row r="9" spans="1:11" ht="13.35" customHeight="1">
      <c r="A9" s="288"/>
      <c r="B9" s="404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1-4</v>
      </c>
    </row>
    <row r="10" spans="1:11" ht="13.35" customHeight="1">
      <c r="A10" s="288"/>
      <c r="B10" s="404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1-5</v>
      </c>
    </row>
    <row r="11" spans="1:11" ht="13.35" customHeight="1" thickBot="1">
      <c r="A11" s="288"/>
      <c r="B11" s="405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1-6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1-7</v>
      </c>
    </row>
    <row r="14" spans="1:11" ht="13.35" customHeight="1">
      <c r="A14" s="288"/>
      <c r="B14" s="403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1-8</v>
      </c>
    </row>
    <row r="15" spans="1:11" ht="13.35" customHeight="1">
      <c r="A15" s="288"/>
      <c r="B15" s="404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1-9</v>
      </c>
    </row>
    <row r="16" spans="1:11" ht="13.35" customHeight="1">
      <c r="A16" s="288"/>
      <c r="B16" s="404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1-10</v>
      </c>
    </row>
    <row r="17" spans="1:11" ht="13.35" customHeight="1">
      <c r="A17" s="288"/>
      <c r="B17" s="404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1-11</v>
      </c>
    </row>
    <row r="18" spans="1:11" ht="13.35" customHeight="1" thickBot="1">
      <c r="A18" s="288"/>
      <c r="B18" s="405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1-12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1-13</v>
      </c>
    </row>
    <row r="21" spans="1:11" ht="13.35" customHeight="1">
      <c r="A21" s="288"/>
      <c r="B21" s="403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1-14</v>
      </c>
    </row>
    <row r="22" spans="1:11" ht="13.35" customHeight="1">
      <c r="A22" s="288"/>
      <c r="B22" s="404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1-15</v>
      </c>
    </row>
    <row r="23" spans="1:11" ht="13.35" customHeight="1">
      <c r="A23" s="288"/>
      <c r="B23" s="404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1-16</v>
      </c>
    </row>
    <row r="24" spans="1:11" ht="13.35" customHeight="1">
      <c r="A24" s="288"/>
      <c r="B24" s="404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1-17</v>
      </c>
    </row>
    <row r="25" spans="1:11" ht="13.35" customHeight="1" thickBot="1">
      <c r="A25" s="288"/>
      <c r="B25" s="405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1-18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1-19</v>
      </c>
    </row>
    <row r="28" spans="1:11" ht="13.35" customHeight="1">
      <c r="A28" s="288"/>
      <c r="B28" s="403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1-20</v>
      </c>
    </row>
    <row r="29" spans="1:11" ht="13.35" customHeight="1">
      <c r="A29" s="288"/>
      <c r="B29" s="404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1-21</v>
      </c>
    </row>
    <row r="30" spans="1:11" ht="13.35" customHeight="1">
      <c r="A30" s="288"/>
      <c r="B30" s="404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1-22</v>
      </c>
    </row>
    <row r="31" spans="1:11" ht="13.35" customHeight="1">
      <c r="A31" s="288"/>
      <c r="B31" s="404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1-23</v>
      </c>
    </row>
    <row r="32" spans="1:11" ht="13.35" customHeight="1" thickBot="1">
      <c r="A32" s="288"/>
      <c r="B32" s="405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1-24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1-25</v>
      </c>
    </row>
    <row r="35" spans="1:11" ht="13.35" customHeight="1">
      <c r="A35" s="288"/>
      <c r="B35" s="403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1-26</v>
      </c>
    </row>
    <row r="36" spans="1:11" ht="13.35" customHeight="1">
      <c r="A36" s="288"/>
      <c r="B36" s="404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1-27</v>
      </c>
    </row>
    <row r="37" spans="1:11" ht="13.35" customHeight="1">
      <c r="A37" s="288"/>
      <c r="B37" s="404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1-28</v>
      </c>
    </row>
    <row r="38" spans="1:11" ht="13.35" customHeight="1">
      <c r="A38" s="288"/>
      <c r="B38" s="404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1-29</v>
      </c>
    </row>
    <row r="39" spans="1:11" ht="13.35" customHeight="1" thickBot="1">
      <c r="A39" s="288"/>
      <c r="B39" s="405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1-30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1-31</v>
      </c>
    </row>
    <row r="42" spans="1:11" ht="13.35" customHeight="1">
      <c r="A42" s="288"/>
      <c r="B42" s="403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1-32</v>
      </c>
    </row>
    <row r="43" spans="1:11" ht="13.35" customHeight="1">
      <c r="A43" s="288"/>
      <c r="B43" s="404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1-33</v>
      </c>
    </row>
    <row r="44" spans="1:11" ht="13.35" customHeight="1">
      <c r="A44" s="288"/>
      <c r="B44" s="404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1-34</v>
      </c>
    </row>
    <row r="45" spans="1:11" ht="13.35" customHeight="1">
      <c r="A45" s="288"/>
      <c r="B45" s="404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1-35</v>
      </c>
    </row>
    <row r="46" spans="1:11" ht="13.35" customHeight="1" thickBot="1">
      <c r="A46" s="288"/>
      <c r="B46" s="405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1-36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1-37</v>
      </c>
    </row>
    <row r="49" spans="1:11" ht="13.35" customHeight="1">
      <c r="A49" s="288"/>
      <c r="B49" s="403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1-38</v>
      </c>
    </row>
    <row r="50" spans="1:11" ht="13.35" customHeight="1">
      <c r="A50" s="288"/>
      <c r="B50" s="404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1-39</v>
      </c>
    </row>
    <row r="51" spans="1:11" ht="13.35" customHeight="1">
      <c r="A51" s="288"/>
      <c r="B51" s="404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1-40</v>
      </c>
    </row>
    <row r="52" spans="1:11" ht="13.35" customHeight="1">
      <c r="A52" s="288"/>
      <c r="B52" s="404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1-41</v>
      </c>
    </row>
    <row r="53" spans="1:11" ht="13.35" customHeight="1" thickBot="1">
      <c r="A53" s="288"/>
      <c r="B53" s="405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1-42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1-43</v>
      </c>
    </row>
    <row r="56" spans="1:11" ht="13.35" customHeight="1">
      <c r="A56" s="288"/>
      <c r="B56" s="403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1-44</v>
      </c>
    </row>
    <row r="57" spans="1:11" ht="13.35" customHeight="1">
      <c r="A57" s="288"/>
      <c r="B57" s="404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1-45</v>
      </c>
    </row>
    <row r="58" spans="1:11" ht="13.35" customHeight="1">
      <c r="A58" s="288"/>
      <c r="B58" s="404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1-46</v>
      </c>
    </row>
    <row r="59" spans="1:11" ht="13.35" customHeight="1">
      <c r="A59" s="288"/>
      <c r="B59" s="404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1-47</v>
      </c>
    </row>
    <row r="60" spans="1:11" ht="13.35" customHeight="1" thickBot="1">
      <c r="A60" s="288"/>
      <c r="B60" s="405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1-48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1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1-CHL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1-49</v>
      </c>
    </row>
    <row r="70" spans="1:11" ht="12.9" customHeight="1">
      <c r="A70" s="288"/>
      <c r="B70" s="403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1-50</v>
      </c>
    </row>
    <row r="71" spans="1:11" ht="12.9" customHeight="1">
      <c r="A71" s="288"/>
      <c r="B71" s="404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1-51</v>
      </c>
    </row>
    <row r="72" spans="1:11" ht="12.9" customHeight="1">
      <c r="A72" s="288"/>
      <c r="B72" s="404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1-52</v>
      </c>
    </row>
    <row r="73" spans="1:11" ht="12.9" customHeight="1">
      <c r="A73" s="288"/>
      <c r="B73" s="404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1-53</v>
      </c>
    </row>
    <row r="74" spans="1:11" ht="12.9" customHeight="1" thickBot="1">
      <c r="A74" s="288"/>
      <c r="B74" s="405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1-54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1-55</v>
      </c>
    </row>
    <row r="77" spans="1:11" ht="12.9" customHeight="1">
      <c r="A77" s="288"/>
      <c r="B77" s="403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1-56</v>
      </c>
    </row>
    <row r="78" spans="1:11" ht="12.9" customHeight="1">
      <c r="A78" s="288"/>
      <c r="B78" s="404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1-57</v>
      </c>
    </row>
    <row r="79" spans="1:11" ht="12.9" customHeight="1">
      <c r="A79" s="288"/>
      <c r="B79" s="404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1-58</v>
      </c>
    </row>
    <row r="80" spans="1:11" ht="12.9" customHeight="1">
      <c r="A80" s="288"/>
      <c r="B80" s="404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1-59</v>
      </c>
    </row>
    <row r="81" spans="1:11" ht="12.9" customHeight="1" thickBot="1">
      <c r="A81" s="288"/>
      <c r="B81" s="405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1-60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1-61</v>
      </c>
    </row>
    <row r="84" spans="1:11" ht="12.9" customHeight="1">
      <c r="A84" s="288"/>
      <c r="B84" s="403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1-62</v>
      </c>
    </row>
    <row r="85" spans="1:11" ht="12.9" customHeight="1">
      <c r="A85" s="288"/>
      <c r="B85" s="404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1-63</v>
      </c>
    </row>
    <row r="86" spans="1:11" ht="12.9" customHeight="1">
      <c r="A86" s="288"/>
      <c r="B86" s="404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1-64</v>
      </c>
    </row>
    <row r="87" spans="1:11" ht="12.9" customHeight="1">
      <c r="A87" s="288"/>
      <c r="B87" s="404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1-65</v>
      </c>
    </row>
    <row r="88" spans="1:11" ht="12.9" customHeight="1" thickBot="1">
      <c r="A88" s="288"/>
      <c r="B88" s="405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1-66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1-67</v>
      </c>
    </row>
    <row r="91" spans="1:11" ht="12.9" customHeight="1">
      <c r="A91" s="288"/>
      <c r="B91" s="403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1-68</v>
      </c>
    </row>
    <row r="92" spans="1:11" ht="12.9" customHeight="1">
      <c r="A92" s="288"/>
      <c r="B92" s="404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1-69</v>
      </c>
    </row>
    <row r="93" spans="1:11" ht="12.9" customHeight="1">
      <c r="A93" s="288"/>
      <c r="B93" s="404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1-70</v>
      </c>
    </row>
    <row r="94" spans="1:11" ht="12.9" customHeight="1">
      <c r="A94" s="288"/>
      <c r="B94" s="404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1-71</v>
      </c>
    </row>
    <row r="95" spans="1:11" ht="12.9" customHeight="1" thickBot="1">
      <c r="A95" s="288"/>
      <c r="B95" s="405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1-72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1-73</v>
      </c>
    </row>
    <row r="98" spans="1:11" ht="12.9" customHeight="1">
      <c r="A98" s="288"/>
      <c r="B98" s="403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1-74</v>
      </c>
    </row>
    <row r="99" spans="1:11" ht="12.9" customHeight="1">
      <c r="A99" s="288"/>
      <c r="B99" s="404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1-75</v>
      </c>
    </row>
    <row r="100" spans="1:11" ht="12.9" customHeight="1">
      <c r="A100" s="288"/>
      <c r="B100" s="404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1-76</v>
      </c>
    </row>
    <row r="101" spans="1:11" ht="12.9" customHeight="1">
      <c r="A101" s="288"/>
      <c r="B101" s="404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1-77</v>
      </c>
    </row>
    <row r="102" spans="1:11" ht="12.9" customHeight="1" thickBot="1">
      <c r="A102" s="288"/>
      <c r="B102" s="405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1-78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1-79</v>
      </c>
    </row>
    <row r="105" spans="1:11" ht="12.9" customHeight="1">
      <c r="A105" s="288"/>
      <c r="B105" s="403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1-80</v>
      </c>
    </row>
    <row r="106" spans="1:11" ht="12.9" customHeight="1">
      <c r="A106" s="288"/>
      <c r="B106" s="404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1-81</v>
      </c>
    </row>
    <row r="107" spans="1:11" ht="12.9" customHeight="1">
      <c r="A107" s="288"/>
      <c r="B107" s="404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1-82</v>
      </c>
    </row>
    <row r="108" spans="1:11" ht="12.9" customHeight="1">
      <c r="A108" s="288"/>
      <c r="B108" s="404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1-83</v>
      </c>
    </row>
    <row r="109" spans="1:11" ht="12.9" customHeight="1" thickBot="1">
      <c r="A109" s="288"/>
      <c r="B109" s="405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1-84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1-85</v>
      </c>
    </row>
    <row r="112" spans="1:11" ht="12.9" customHeight="1">
      <c r="A112" s="288"/>
      <c r="B112" s="403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1-86</v>
      </c>
    </row>
    <row r="113" spans="1:11" ht="12.9" customHeight="1">
      <c r="A113" s="288"/>
      <c r="B113" s="404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1-87</v>
      </c>
    </row>
    <row r="114" spans="1:11" ht="12.9" customHeight="1">
      <c r="A114" s="288"/>
      <c r="B114" s="404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1-88</v>
      </c>
    </row>
    <row r="115" spans="1:11" ht="12.9" customHeight="1">
      <c r="A115" s="288"/>
      <c r="B115" s="404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1-89</v>
      </c>
    </row>
    <row r="116" spans="1:11" ht="12.9" customHeight="1" thickBot="1">
      <c r="A116" s="288"/>
      <c r="B116" s="405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1-90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1-91</v>
      </c>
    </row>
    <row r="119" spans="1:11" ht="12.9" customHeight="1">
      <c r="A119" s="288"/>
      <c r="B119" s="403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1-92</v>
      </c>
    </row>
    <row r="120" spans="1:11" ht="12.9" customHeight="1">
      <c r="A120" s="288"/>
      <c r="B120" s="404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1-93</v>
      </c>
    </row>
    <row r="121" spans="1:11" ht="12.9" customHeight="1">
      <c r="A121" s="288"/>
      <c r="B121" s="404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1-94</v>
      </c>
    </row>
    <row r="122" spans="1:11" ht="12.9" customHeight="1">
      <c r="A122" s="288"/>
      <c r="B122" s="404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1-95</v>
      </c>
    </row>
    <row r="123" spans="1:11" ht="12.9" customHeight="1" thickBot="1">
      <c r="A123" s="288"/>
      <c r="B123" s="405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1-96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I2:I126"/>
    <mergeCell ref="B84:B88"/>
    <mergeCell ref="B77:B81"/>
    <mergeCell ref="B70:B74"/>
    <mergeCell ref="G13:G18"/>
    <mergeCell ref="G20:G25"/>
    <mergeCell ref="G6:G11"/>
    <mergeCell ref="H2:H3"/>
    <mergeCell ref="B2:C2"/>
    <mergeCell ref="B3:C3"/>
    <mergeCell ref="D2:F2"/>
    <mergeCell ref="D3:F3"/>
    <mergeCell ref="G48:G53"/>
    <mergeCell ref="B54:H54"/>
    <mergeCell ref="A5:A123"/>
    <mergeCell ref="B67:F67"/>
    <mergeCell ref="G76:G81"/>
    <mergeCell ref="G83:G88"/>
    <mergeCell ref="G69:G74"/>
    <mergeCell ref="B66:C66"/>
    <mergeCell ref="D66:F66"/>
    <mergeCell ref="B96:H96"/>
    <mergeCell ref="B89:H89"/>
    <mergeCell ref="B82:H82"/>
    <mergeCell ref="G104:G109"/>
    <mergeCell ref="G111:G116"/>
    <mergeCell ref="G34:G39"/>
    <mergeCell ref="B28:B32"/>
    <mergeCell ref="B119:B123"/>
    <mergeCell ref="B112:B116"/>
    <mergeCell ref="G97:G102"/>
    <mergeCell ref="G65:H67"/>
    <mergeCell ref="G55:G60"/>
    <mergeCell ref="F61:G61"/>
    <mergeCell ref="F62:G62"/>
    <mergeCell ref="G90:G95"/>
    <mergeCell ref="B7:B11"/>
    <mergeCell ref="B12:H12"/>
    <mergeCell ref="B56:B60"/>
    <mergeCell ref="B49:B53"/>
    <mergeCell ref="B42:B46"/>
    <mergeCell ref="B35:B39"/>
    <mergeCell ref="B14:B18"/>
    <mergeCell ref="B19:H19"/>
    <mergeCell ref="B26:H26"/>
    <mergeCell ref="B33:H33"/>
    <mergeCell ref="B40:H40"/>
    <mergeCell ref="B47:H47"/>
    <mergeCell ref="G27:G32"/>
    <mergeCell ref="G41:G46"/>
    <mergeCell ref="B21:B25"/>
    <mergeCell ref="F125:G125"/>
    <mergeCell ref="F126:G126"/>
    <mergeCell ref="B61:E63"/>
    <mergeCell ref="F124:G124"/>
    <mergeCell ref="B124:E126"/>
    <mergeCell ref="F63:G63"/>
    <mergeCell ref="G118:G123"/>
    <mergeCell ref="B117:H117"/>
    <mergeCell ref="B110:H110"/>
    <mergeCell ref="B75:H75"/>
    <mergeCell ref="B65:C65"/>
    <mergeCell ref="D65:F65"/>
    <mergeCell ref="B105:B109"/>
    <mergeCell ref="B98:B102"/>
    <mergeCell ref="B91:B95"/>
    <mergeCell ref="B103:H103"/>
  </mergeCells>
  <conditionalFormatting sqref="D6">
    <cfRule type="beginsWith" dxfId="271" priority="15" operator="beginsWith" text=".1">
      <formula>LEFT(D6,LEN(".1"))=".1"</formula>
    </cfRule>
  </conditionalFormatting>
  <conditionalFormatting sqref="D7">
    <cfRule type="beginsWith" dxfId="270" priority="14" operator="beginsWith" text=".2">
      <formula>LEFT(D7,LEN(".2"))=".2"</formula>
    </cfRule>
  </conditionalFormatting>
  <conditionalFormatting sqref="D8">
    <cfRule type="beginsWith" dxfId="269" priority="13" operator="beginsWith" text=".3">
      <formula>LEFT(D8,LEN(".3"))=".3"</formula>
    </cfRule>
  </conditionalFormatting>
  <conditionalFormatting sqref="D9">
    <cfRule type="beginsWith" dxfId="268" priority="12" operator="beginsWith" text=".4">
      <formula>LEFT(D9,LEN(".4"))=".4"</formula>
    </cfRule>
  </conditionalFormatting>
  <conditionalFormatting sqref="D10">
    <cfRule type="beginsWith" dxfId="267" priority="11" operator="beginsWith" text=".5">
      <formula>LEFT(D10,LEN(".5"))=".5"</formula>
    </cfRule>
  </conditionalFormatting>
  <conditionalFormatting sqref="D11">
    <cfRule type="beginsWith" dxfId="266" priority="10" operator="beginsWith" text=".6">
      <formula>LEFT(D11,LEN(".6"))=".6"</formula>
    </cfRule>
  </conditionalFormatting>
  <conditionalFormatting sqref="D13 D20 D27 D34 D41 D48 D55 D69 D76 D83 D90 D97 D104 D111 D118">
    <cfRule type="beginsWith" dxfId="265" priority="9" operator="beginsWith" text=".1">
      <formula>LEFT(D13,LEN(".1"))=".1"</formula>
    </cfRule>
  </conditionalFormatting>
  <conditionalFormatting sqref="D14 D21 D28 D35 D42 D49 D56 D70 D77 D84 D91 D98 D105 D112 D119">
    <cfRule type="beginsWith" dxfId="264" priority="8" operator="beginsWith" text=".2">
      <formula>LEFT(D14,LEN(".2"))=".2"</formula>
    </cfRule>
  </conditionalFormatting>
  <conditionalFormatting sqref="D15 D22 D29 D36 D43 D50 D57 D71 D78 D85 D92 D99 D106 D113 D120">
    <cfRule type="beginsWith" dxfId="263" priority="7" operator="beginsWith" text=".3">
      <formula>LEFT(D15,LEN(".3"))=".3"</formula>
    </cfRule>
  </conditionalFormatting>
  <conditionalFormatting sqref="D16 D23 D30 D37 D44 D51 D58 D72 D79 D86 D93 D100 D107 D114 D121">
    <cfRule type="beginsWith" dxfId="262" priority="6" operator="beginsWith" text=".4">
      <formula>LEFT(D16,LEN(".4"))=".4"</formula>
    </cfRule>
  </conditionalFormatting>
  <conditionalFormatting sqref="D17 D24 D31 D38 D45 D52 D59 D73 D80 D87 D94 D101 D108 D115 D122">
    <cfRule type="beginsWith" dxfId="261" priority="5" operator="beginsWith" text=".5">
      <formula>LEFT(D17,LEN(".5"))=".5"</formula>
    </cfRule>
  </conditionalFormatting>
  <conditionalFormatting sqref="D18 D25 D32 D39 D46 D53 D60 D74 D81 D88 D95 D102 D109 D116 D123">
    <cfRule type="beginsWith" dxfId="260" priority="4" operator="beginsWith" text=".6">
      <formula>LEFT(D18,LEN(".6"))=".6"</formula>
    </cfRule>
  </conditionalFormatting>
  <conditionalFormatting sqref="D2:F2">
    <cfRule type="cellIs" dxfId="259" priority="2" operator="equal">
      <formula>0</formula>
    </cfRule>
  </conditionalFormatting>
  <conditionalFormatting sqref="D65:F66">
    <cfRule type="cellIs" dxfId="258" priority="1" operator="equal">
      <formula>0</formula>
    </cfRule>
  </conditionalFormatting>
  <conditionalFormatting sqref="G65">
    <cfRule type="cellIs" dxfId="257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" xr:uid="{3B87D578-EA6E-446B-A38F-D3D01041467D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74F5-88E5-8349-8A70-622690C7FF83}">
  <dimension ref="A1:L142"/>
  <sheetViews>
    <sheetView showZeros="0" view="pageBreakPreview" topLeftCell="D52" zoomScale="155" zoomScaleNormal="110" zoomScaleSheetLayoutView="100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2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2-1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2-2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2-3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2-4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2-5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2-6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2-7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2-8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2-9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2-10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2-11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2-12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2-13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2-14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2-15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2-16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2-17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2-18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2-19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2-20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2-21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2-22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2-23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2-24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2-25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2-26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2-27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2-28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2-29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2-30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2-31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2-32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2-33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2-34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2-35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2-36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2-37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2-38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2-39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2-40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2-41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2-42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2-43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2-44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2-45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2-46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2-47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2-48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2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2-CHL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2-49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2-50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2-51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2-52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2-53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2-54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2-55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2-56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2-57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2-58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2-59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2-60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2-61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2-62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2-63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2-64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2-65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2-66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2-67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2-68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2-69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2-70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2-71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2-72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2-73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2-74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2-75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2-76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2-77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2-78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2-79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2-80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2-81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2-82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2-83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2-84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2-85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2-86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2-87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2-88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2-89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2-90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2-91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2-92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2-93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2-94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2-95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2-96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F126:G126"/>
    <mergeCell ref="G111:G116"/>
    <mergeCell ref="B112:B116"/>
    <mergeCell ref="G118:G123"/>
    <mergeCell ref="B119:B123"/>
    <mergeCell ref="F124:G124"/>
    <mergeCell ref="B117:H117"/>
    <mergeCell ref="B124:E126"/>
    <mergeCell ref="F125:G125"/>
    <mergeCell ref="B82:H82"/>
    <mergeCell ref="B75:H75"/>
    <mergeCell ref="G83:G88"/>
    <mergeCell ref="B84:B88"/>
    <mergeCell ref="B110:H110"/>
    <mergeCell ref="G104:G109"/>
    <mergeCell ref="B105:B109"/>
    <mergeCell ref="D66:F66"/>
    <mergeCell ref="B67:F67"/>
    <mergeCell ref="G69:G74"/>
    <mergeCell ref="B70:B74"/>
    <mergeCell ref="G76:G81"/>
    <mergeCell ref="B77:B81"/>
    <mergeCell ref="B103:H103"/>
    <mergeCell ref="B96:H96"/>
    <mergeCell ref="B89:H89"/>
    <mergeCell ref="G90:G95"/>
    <mergeCell ref="B91:B95"/>
    <mergeCell ref="G97:G102"/>
    <mergeCell ref="B98:B102"/>
    <mergeCell ref="A5:A123"/>
    <mergeCell ref="G6:G11"/>
    <mergeCell ref="B7:B11"/>
    <mergeCell ref="B12:H12"/>
    <mergeCell ref="G13:G18"/>
    <mergeCell ref="B14:B18"/>
    <mergeCell ref="G20:G25"/>
    <mergeCell ref="B21:B25"/>
    <mergeCell ref="F61:G61"/>
    <mergeCell ref="G34:G39"/>
    <mergeCell ref="B35:B39"/>
    <mergeCell ref="G41:G46"/>
    <mergeCell ref="B42:B46"/>
    <mergeCell ref="F62:G62"/>
    <mergeCell ref="F63:G63"/>
    <mergeCell ref="G65:H67"/>
    <mergeCell ref="B2:C2"/>
    <mergeCell ref="D2:F2"/>
    <mergeCell ref="H2:H3"/>
    <mergeCell ref="I2:I126"/>
    <mergeCell ref="B3:C3"/>
    <mergeCell ref="D3:F3"/>
    <mergeCell ref="G27:G32"/>
    <mergeCell ref="B28:B32"/>
    <mergeCell ref="G48:G53"/>
    <mergeCell ref="B49:B53"/>
    <mergeCell ref="G55:G60"/>
    <mergeCell ref="B56:B60"/>
    <mergeCell ref="B65:C65"/>
    <mergeCell ref="D65:F65"/>
    <mergeCell ref="B66:C66"/>
    <mergeCell ref="B19:H19"/>
    <mergeCell ref="B26:H26"/>
    <mergeCell ref="B61:E63"/>
    <mergeCell ref="B54:H54"/>
    <mergeCell ref="B47:H47"/>
    <mergeCell ref="B40:H40"/>
    <mergeCell ref="B33:H33"/>
  </mergeCells>
  <conditionalFormatting sqref="D6">
    <cfRule type="beginsWith" dxfId="256" priority="15" operator="beginsWith" text=".1">
      <formula>LEFT(D6,LEN(".1"))=".1"</formula>
    </cfRule>
  </conditionalFormatting>
  <conditionalFormatting sqref="D7">
    <cfRule type="beginsWith" dxfId="255" priority="14" operator="beginsWith" text=".2">
      <formula>LEFT(D7,LEN(".2"))=".2"</formula>
    </cfRule>
  </conditionalFormatting>
  <conditionalFormatting sqref="D8">
    <cfRule type="beginsWith" dxfId="254" priority="13" operator="beginsWith" text=".3">
      <formula>LEFT(D8,LEN(".3"))=".3"</formula>
    </cfRule>
  </conditionalFormatting>
  <conditionalFormatting sqref="D9">
    <cfRule type="beginsWith" dxfId="253" priority="12" operator="beginsWith" text=".4">
      <formula>LEFT(D9,LEN(".4"))=".4"</formula>
    </cfRule>
  </conditionalFormatting>
  <conditionalFormatting sqref="D10">
    <cfRule type="beginsWith" dxfId="252" priority="11" operator="beginsWith" text=".5">
      <formula>LEFT(D10,LEN(".5"))=".5"</formula>
    </cfRule>
  </conditionalFormatting>
  <conditionalFormatting sqref="D11">
    <cfRule type="beginsWith" dxfId="251" priority="10" operator="beginsWith" text=".6">
      <formula>LEFT(D11,LEN(".6"))=".6"</formula>
    </cfRule>
  </conditionalFormatting>
  <conditionalFormatting sqref="D13 D20 D27 D34 D41 D48 D55 D69 D76 D83 D90 D97 D104 D111 D118">
    <cfRule type="beginsWith" dxfId="250" priority="9" operator="beginsWith" text=".1">
      <formula>LEFT(D13,LEN(".1"))=".1"</formula>
    </cfRule>
  </conditionalFormatting>
  <conditionalFormatting sqref="D14 D21 D28 D35 D42 D49 D56 D70 D77 D84 D91 D98 D105 D112 D119">
    <cfRule type="beginsWith" dxfId="249" priority="8" operator="beginsWith" text=".2">
      <formula>LEFT(D14,LEN(".2"))=".2"</formula>
    </cfRule>
  </conditionalFormatting>
  <conditionalFormatting sqref="D15 D22 D29 D36 D43 D50 D57 D71 D78 D85 D92 D99 D106 D113 D120">
    <cfRule type="beginsWith" dxfId="248" priority="7" operator="beginsWith" text=".3">
      <formula>LEFT(D15,LEN(".3"))=".3"</formula>
    </cfRule>
  </conditionalFormatting>
  <conditionalFormatting sqref="D16 D23 D30 D37 D44 D51 D58 D72 D79 D86 D93 D100 D107 D114 D121">
    <cfRule type="beginsWith" dxfId="247" priority="6" operator="beginsWith" text=".4">
      <formula>LEFT(D16,LEN(".4"))=".4"</formula>
    </cfRule>
  </conditionalFormatting>
  <conditionalFormatting sqref="D17 D24 D31 D38 D45 D52 D59 D73 D80 D87 D94 D101 D108 D115 D122">
    <cfRule type="beginsWith" dxfId="246" priority="5" operator="beginsWith" text=".5">
      <formula>LEFT(D17,LEN(".5"))=".5"</formula>
    </cfRule>
  </conditionalFormatting>
  <conditionalFormatting sqref="D18 D25 D32 D39 D46 D53 D60 D74 D81 D88 D95 D102 D109 D116 D123">
    <cfRule type="beginsWith" dxfId="245" priority="4" operator="beginsWith" text=".6">
      <formula>LEFT(D18,LEN(".6"))=".6"</formula>
    </cfRule>
  </conditionalFormatting>
  <conditionalFormatting sqref="D2:F2">
    <cfRule type="cellIs" dxfId="244" priority="2" operator="equal">
      <formula>0</formula>
    </cfRule>
  </conditionalFormatting>
  <conditionalFormatting sqref="D65:F66">
    <cfRule type="cellIs" dxfId="243" priority="1" operator="equal">
      <formula>0</formula>
    </cfRule>
  </conditionalFormatting>
  <conditionalFormatting sqref="G65">
    <cfRule type="cellIs" dxfId="242" priority="3" operator="equal">
      <formula>0</formula>
    </cfRule>
  </conditionalFormatting>
  <dataValidations disablePrompts="1" count="1">
    <dataValidation type="list" allowBlank="1" showInputMessage="1" showErrorMessage="1" sqref="E6:E11 E13:E18 E20:E25 E27:E32 E34:E39 E41:E46 E48:E53 E55:E60" xr:uid="{60671D4D-7861-4C04-B596-8920A9D7BE07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8472-E4F3-E349-9968-CDC51B61DE7A}">
  <dimension ref="A1:L142"/>
  <sheetViews>
    <sheetView showZeros="0" view="pageBreakPreview" topLeftCell="A50" zoomScale="155" zoomScaleNormal="100" zoomScaleSheetLayoutView="155" zoomScalePageLayoutView="13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3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3-1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3-2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3-3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3-4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3-5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3-6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3-7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3-8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3-9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3-10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3-11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3-12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3-13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3-14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3-15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3-16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3-17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3-18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3-19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3-20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3-21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3-22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3-23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3-24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3-25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3-26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3-27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3-28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3-29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3-30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3-31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3-32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3-33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3-34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3-35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3-36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3-37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3-38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3-39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3-40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3-41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3-42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3-43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3-44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3-45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3-46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3-47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3-48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3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3-CHL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3-49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3-50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3-51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3-52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3-53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3-54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3-55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3-56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3-57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3-58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3-59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3-60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3-61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3-62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3-63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3-64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3-65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3-66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3-67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3-68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3-69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3-70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3-71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3-72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3-73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3-74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3-75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3-76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3-77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3-78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3-79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3-80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3-81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3-82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3-83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3-84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3-85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3-86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3-87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3-88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3-89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3-90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3-91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3-92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3-93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3-94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3-95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3-96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F125:G125"/>
    <mergeCell ref="F126:G126"/>
    <mergeCell ref="G111:G116"/>
    <mergeCell ref="B112:B116"/>
    <mergeCell ref="G118:G123"/>
    <mergeCell ref="B119:B123"/>
    <mergeCell ref="F124:G124"/>
    <mergeCell ref="B117:H117"/>
    <mergeCell ref="G104:G109"/>
    <mergeCell ref="B105:B109"/>
    <mergeCell ref="B110:H110"/>
    <mergeCell ref="B103:H103"/>
    <mergeCell ref="B96:H96"/>
    <mergeCell ref="G83:G88"/>
    <mergeCell ref="A5:A123"/>
    <mergeCell ref="G6:G11"/>
    <mergeCell ref="B7:B11"/>
    <mergeCell ref="B12:H12"/>
    <mergeCell ref="G13:G18"/>
    <mergeCell ref="B14:B18"/>
    <mergeCell ref="G20:G25"/>
    <mergeCell ref="B21:B25"/>
    <mergeCell ref="F61:G61"/>
    <mergeCell ref="G34:G39"/>
    <mergeCell ref="B35:B39"/>
    <mergeCell ref="G41:G46"/>
    <mergeCell ref="B42:B46"/>
    <mergeCell ref="F62:G62"/>
    <mergeCell ref="F63:G63"/>
    <mergeCell ref="B65:C65"/>
    <mergeCell ref="B2:C2"/>
    <mergeCell ref="D2:F2"/>
    <mergeCell ref="H2:H3"/>
    <mergeCell ref="I2:I126"/>
    <mergeCell ref="B3:C3"/>
    <mergeCell ref="D3:F3"/>
    <mergeCell ref="G27:G32"/>
    <mergeCell ref="B28:B32"/>
    <mergeCell ref="G48:G53"/>
    <mergeCell ref="B49:B53"/>
    <mergeCell ref="G55:G60"/>
    <mergeCell ref="B56:B60"/>
    <mergeCell ref="D65:F65"/>
    <mergeCell ref="G65:H67"/>
    <mergeCell ref="B66:C66"/>
    <mergeCell ref="B19:H19"/>
    <mergeCell ref="B124:E126"/>
    <mergeCell ref="B61:E63"/>
    <mergeCell ref="B54:H54"/>
    <mergeCell ref="B47:H47"/>
    <mergeCell ref="B40:H40"/>
    <mergeCell ref="G76:G81"/>
    <mergeCell ref="B77:B81"/>
    <mergeCell ref="B82:H82"/>
    <mergeCell ref="B75:H75"/>
    <mergeCell ref="B84:B88"/>
    <mergeCell ref="G90:G95"/>
    <mergeCell ref="B91:B95"/>
    <mergeCell ref="G97:G102"/>
    <mergeCell ref="B98:B102"/>
    <mergeCell ref="B89:H89"/>
    <mergeCell ref="B33:H33"/>
    <mergeCell ref="B26:H26"/>
    <mergeCell ref="D66:F66"/>
    <mergeCell ref="B67:F67"/>
    <mergeCell ref="G69:G74"/>
    <mergeCell ref="B70:B74"/>
  </mergeCells>
  <conditionalFormatting sqref="D6">
    <cfRule type="beginsWith" dxfId="241" priority="15" operator="beginsWith" text=".1">
      <formula>LEFT(D6,LEN(".1"))=".1"</formula>
    </cfRule>
  </conditionalFormatting>
  <conditionalFormatting sqref="D7">
    <cfRule type="beginsWith" dxfId="240" priority="14" operator="beginsWith" text=".2">
      <formula>LEFT(D7,LEN(".2"))=".2"</formula>
    </cfRule>
  </conditionalFormatting>
  <conditionalFormatting sqref="D8">
    <cfRule type="beginsWith" dxfId="239" priority="13" operator="beginsWith" text=".3">
      <formula>LEFT(D8,LEN(".3"))=".3"</formula>
    </cfRule>
  </conditionalFormatting>
  <conditionalFormatting sqref="D9">
    <cfRule type="beginsWith" dxfId="238" priority="12" operator="beginsWith" text=".4">
      <formula>LEFT(D9,LEN(".4"))=".4"</formula>
    </cfRule>
  </conditionalFormatting>
  <conditionalFormatting sqref="D10">
    <cfRule type="beginsWith" dxfId="237" priority="11" operator="beginsWith" text=".5">
      <formula>LEFT(D10,LEN(".5"))=".5"</formula>
    </cfRule>
  </conditionalFormatting>
  <conditionalFormatting sqref="D11">
    <cfRule type="beginsWith" dxfId="236" priority="10" operator="beginsWith" text=".6">
      <formula>LEFT(D11,LEN(".6"))=".6"</formula>
    </cfRule>
  </conditionalFormatting>
  <conditionalFormatting sqref="D13 D20 D27 D34 D41 D48 D55 D69 D76 D83 D90 D97 D104 D111 D118">
    <cfRule type="beginsWith" dxfId="235" priority="9" operator="beginsWith" text=".1">
      <formula>LEFT(D13,LEN(".1"))=".1"</formula>
    </cfRule>
  </conditionalFormatting>
  <conditionalFormatting sqref="D14 D21 D28 D35 D42 D49 D56 D70 D77 D84 D91 D98 D105 D112 D119">
    <cfRule type="beginsWith" dxfId="234" priority="8" operator="beginsWith" text=".2">
      <formula>LEFT(D14,LEN(".2"))=".2"</formula>
    </cfRule>
  </conditionalFormatting>
  <conditionalFormatting sqref="D15 D22 D29 D36 D43 D50 D57 D71 D78 D85 D92 D99 D106 D113 D120">
    <cfRule type="beginsWith" dxfId="233" priority="7" operator="beginsWith" text=".3">
      <formula>LEFT(D15,LEN(".3"))=".3"</formula>
    </cfRule>
  </conditionalFormatting>
  <conditionalFormatting sqref="D16 D23 D30 D37 D44 D51 D58 D72 D79 D86 D93 D100 D107 D114 D121">
    <cfRule type="beginsWith" dxfId="232" priority="6" operator="beginsWith" text=".4">
      <formula>LEFT(D16,LEN(".4"))=".4"</formula>
    </cfRule>
  </conditionalFormatting>
  <conditionalFormatting sqref="D17 D24 D31 D38 D45 D52 D59 D73 D80 D87 D94 D101 D108 D115 D122">
    <cfRule type="beginsWith" dxfId="231" priority="5" operator="beginsWith" text=".5">
      <formula>LEFT(D17,LEN(".5"))=".5"</formula>
    </cfRule>
  </conditionalFormatting>
  <conditionalFormatting sqref="D18 D25 D32 D39 D46 D53 D60 D74 D81 D88 D95 D102 D109 D116 D123">
    <cfRule type="beginsWith" dxfId="230" priority="4" operator="beginsWith" text=".6">
      <formula>LEFT(D18,LEN(".6"))=".6"</formula>
    </cfRule>
  </conditionalFormatting>
  <conditionalFormatting sqref="D2:F2">
    <cfRule type="cellIs" dxfId="229" priority="2" operator="equal">
      <formula>0</formula>
    </cfRule>
  </conditionalFormatting>
  <conditionalFormatting sqref="D65:F66">
    <cfRule type="cellIs" dxfId="228" priority="1" operator="equal">
      <formula>0</formula>
    </cfRule>
  </conditionalFormatting>
  <conditionalFormatting sqref="G65">
    <cfRule type="cellIs" dxfId="227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 E69:E74 E76:E81 E83:E88 E90:E95 E97:E102 E104:E109 E111:E116 E118:E123" xr:uid="{FD9D4199-01E6-480D-AA89-C39282F60BBF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AC03-B43F-F84A-B2EA-2C18E9F28FD0}">
  <dimension ref="A1:L142"/>
  <sheetViews>
    <sheetView showZeros="0" view="pageBreakPreview" topLeftCell="A50" zoomScale="155" zoomScaleNormal="110" zoomScaleSheetLayoutView="155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4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4-1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4-2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4-3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4-4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4-5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4-6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4-7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4-8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4-9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4-10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4-11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4-12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4-13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4-14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4-15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4-16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4-17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4-18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4-19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4-20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4-21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4-22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4-23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4-24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4-25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4-26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4-27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4-28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4-29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4-30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4-31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4-32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4-33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4-34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4-35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4-36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4-37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4-38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4-39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4-40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4-41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4-42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4-43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4-44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4-45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4-46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4-47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4-48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4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4-CHL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4-49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4-50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4-51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4-52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4-53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4-54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4-55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4-56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4-57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4-58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4-59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4-60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4-61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4-62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4-63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4-64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4-65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4-66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4-67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4-68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4-69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4-70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4-71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4-72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4-73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4-74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4-75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4-76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4-77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4-78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4-79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4-80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4-81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4-82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4-83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4-84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4-85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4-86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4-87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4-88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4-89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4-90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4-91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4-92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4-93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4-94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4-95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4-96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G104:G109"/>
    <mergeCell ref="B105:B109"/>
    <mergeCell ref="B110:H110"/>
    <mergeCell ref="B103:H103"/>
    <mergeCell ref="B82:H82"/>
    <mergeCell ref="B75:H75"/>
    <mergeCell ref="G83:G88"/>
    <mergeCell ref="B84:B88"/>
    <mergeCell ref="G90:G95"/>
    <mergeCell ref="B91:B95"/>
    <mergeCell ref="B96:H96"/>
    <mergeCell ref="B89:H89"/>
    <mergeCell ref="G97:G102"/>
    <mergeCell ref="B98:B102"/>
    <mergeCell ref="F125:G125"/>
    <mergeCell ref="F126:G126"/>
    <mergeCell ref="G111:G116"/>
    <mergeCell ref="B112:B116"/>
    <mergeCell ref="G118:G123"/>
    <mergeCell ref="B119:B123"/>
    <mergeCell ref="F124:G124"/>
    <mergeCell ref="B124:E126"/>
    <mergeCell ref="B117:H117"/>
    <mergeCell ref="D66:F66"/>
    <mergeCell ref="B67:F67"/>
    <mergeCell ref="G69:G74"/>
    <mergeCell ref="B70:B74"/>
    <mergeCell ref="G76:G81"/>
    <mergeCell ref="B77:B81"/>
    <mergeCell ref="A5:A123"/>
    <mergeCell ref="G6:G11"/>
    <mergeCell ref="B7:B11"/>
    <mergeCell ref="B12:H12"/>
    <mergeCell ref="G13:G18"/>
    <mergeCell ref="B14:B18"/>
    <mergeCell ref="G20:G25"/>
    <mergeCell ref="B21:B25"/>
    <mergeCell ref="F61:G61"/>
    <mergeCell ref="G34:G39"/>
    <mergeCell ref="B35:B39"/>
    <mergeCell ref="G41:G46"/>
    <mergeCell ref="B42:B46"/>
    <mergeCell ref="F62:G62"/>
    <mergeCell ref="F63:G63"/>
    <mergeCell ref="B65:C65"/>
    <mergeCell ref="B2:C2"/>
    <mergeCell ref="D2:F2"/>
    <mergeCell ref="H2:H3"/>
    <mergeCell ref="I2:I126"/>
    <mergeCell ref="B3:C3"/>
    <mergeCell ref="D3:F3"/>
    <mergeCell ref="G27:G32"/>
    <mergeCell ref="B28:B32"/>
    <mergeCell ref="G48:G53"/>
    <mergeCell ref="B49:B53"/>
    <mergeCell ref="G55:G60"/>
    <mergeCell ref="B56:B60"/>
    <mergeCell ref="D65:F65"/>
    <mergeCell ref="G65:H67"/>
    <mergeCell ref="B66:C66"/>
    <mergeCell ref="B19:H19"/>
    <mergeCell ref="B26:H26"/>
    <mergeCell ref="B61:E63"/>
    <mergeCell ref="B54:H54"/>
    <mergeCell ref="B47:H47"/>
    <mergeCell ref="B40:H40"/>
    <mergeCell ref="B33:H33"/>
  </mergeCells>
  <conditionalFormatting sqref="D6">
    <cfRule type="beginsWith" dxfId="226" priority="15" operator="beginsWith" text=".1">
      <formula>LEFT(D6,LEN(".1"))=".1"</formula>
    </cfRule>
  </conditionalFormatting>
  <conditionalFormatting sqref="D7">
    <cfRule type="beginsWith" dxfId="225" priority="14" operator="beginsWith" text=".2">
      <formula>LEFT(D7,LEN(".2"))=".2"</formula>
    </cfRule>
  </conditionalFormatting>
  <conditionalFormatting sqref="D8">
    <cfRule type="beginsWith" dxfId="224" priority="13" operator="beginsWith" text=".3">
      <formula>LEFT(D8,LEN(".3"))=".3"</formula>
    </cfRule>
  </conditionalFormatting>
  <conditionalFormatting sqref="D9">
    <cfRule type="beginsWith" dxfId="223" priority="12" operator="beginsWith" text=".4">
      <formula>LEFT(D9,LEN(".4"))=".4"</formula>
    </cfRule>
  </conditionalFormatting>
  <conditionalFormatting sqref="D10">
    <cfRule type="beginsWith" dxfId="222" priority="11" operator="beginsWith" text=".5">
      <formula>LEFT(D10,LEN(".5"))=".5"</formula>
    </cfRule>
  </conditionalFormatting>
  <conditionalFormatting sqref="D11">
    <cfRule type="beginsWith" dxfId="221" priority="10" operator="beginsWith" text=".6">
      <formula>LEFT(D11,LEN(".6"))=".6"</formula>
    </cfRule>
  </conditionalFormatting>
  <conditionalFormatting sqref="D13 D20 D27 D34 D41 D48 D55 D69 D76 D83 D90 D97 D104 D111 D118">
    <cfRule type="beginsWith" dxfId="220" priority="9" operator="beginsWith" text=".1">
      <formula>LEFT(D13,LEN(".1"))=".1"</formula>
    </cfRule>
  </conditionalFormatting>
  <conditionalFormatting sqref="D14 D21 D28 D35 D42 D49 D56 D70 D77 D84 D91 D98 D105 D112 D119">
    <cfRule type="beginsWith" dxfId="219" priority="8" operator="beginsWith" text=".2">
      <formula>LEFT(D14,LEN(".2"))=".2"</formula>
    </cfRule>
  </conditionalFormatting>
  <conditionalFormatting sqref="D15 D22 D29 D36 D43 D50 D57 D71 D78 D85 D92 D99 D106 D113 D120">
    <cfRule type="beginsWith" dxfId="218" priority="7" operator="beginsWith" text=".3">
      <formula>LEFT(D15,LEN(".3"))=".3"</formula>
    </cfRule>
  </conditionalFormatting>
  <conditionalFormatting sqref="D16 D23 D30 D37 D44 D51 D58 D72 D79 D86 D93 D100 D107 D114 D121">
    <cfRule type="beginsWith" dxfId="217" priority="6" operator="beginsWith" text=".4">
      <formula>LEFT(D16,LEN(".4"))=".4"</formula>
    </cfRule>
  </conditionalFormatting>
  <conditionalFormatting sqref="D17 D24 D31 D38 D45 D52 D59 D73 D80 D87 D94 D101 D108 D115 D122">
    <cfRule type="beginsWith" dxfId="216" priority="5" operator="beginsWith" text=".5">
      <formula>LEFT(D17,LEN(".5"))=".5"</formula>
    </cfRule>
  </conditionalFormatting>
  <conditionalFormatting sqref="D18 D25 D32 D39 D46 D53 D60 D74 D81 D88 D95 D102 D109 D116 D123">
    <cfRule type="beginsWith" dxfId="215" priority="4" operator="beginsWith" text=".6">
      <formula>LEFT(D18,LEN(".6"))=".6"</formula>
    </cfRule>
  </conditionalFormatting>
  <conditionalFormatting sqref="D2:F2">
    <cfRule type="cellIs" dxfId="214" priority="2" operator="equal">
      <formula>0</formula>
    </cfRule>
  </conditionalFormatting>
  <conditionalFormatting sqref="D65:F66">
    <cfRule type="cellIs" dxfId="213" priority="1" operator="equal">
      <formula>0</formula>
    </cfRule>
  </conditionalFormatting>
  <conditionalFormatting sqref="G65">
    <cfRule type="cellIs" dxfId="212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57 E118:E123" xr:uid="{B698F310-834B-4290-8B7B-58C77C238C5B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8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4AD8-8A50-B241-8AD5-48CC7D35B7B1}">
  <dimension ref="A1:L142"/>
  <sheetViews>
    <sheetView showZeros="0" view="pageBreakPreview" topLeftCell="A46" zoomScale="155" zoomScaleNormal="110" zoomScaleSheetLayoutView="155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5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5-1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5-2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5-3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5-4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5-5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5-6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5-7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5-8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5-9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5-10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5-11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5-12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5-13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5-14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5-15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5-16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5-17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5-18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5-19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5-20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5-21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5-22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5-23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5-24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5-25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5-26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5-27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5-28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5-29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5-30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5-31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5-32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5-33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5-34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5-35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5-36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5-37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5-38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5-39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5-40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5-41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5-42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5-43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5-44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5-45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5-46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5-47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5-48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5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5-CHL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5-49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5-50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5-51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5-52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5-53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5-54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5-55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5-56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5-57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5-58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5-59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5-60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5-61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5-62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5-63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5-64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5-65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5-66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5-67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5-68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5-69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5-70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5-71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5-72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5-73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5-74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5-75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5-76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5-77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5-78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5-79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5-80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5-81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5-82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5-83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5-84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5-85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5-86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5-87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5-88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5-89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5-90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5-91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5-92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5-93</v>
      </c>
    </row>
    <row r="121" spans="1:11" ht="12.9" customHeight="1">
      <c r="A121" s="288"/>
      <c r="B121" s="407"/>
      <c r="C121" s="10">
        <v>95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5-95</v>
      </c>
    </row>
    <row r="122" spans="1:11" ht="12.9" customHeight="1">
      <c r="A122" s="288"/>
      <c r="B122" s="407"/>
      <c r="C122" s="10">
        <v>94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5-94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5-96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F126:G126"/>
    <mergeCell ref="G111:G116"/>
    <mergeCell ref="B112:B116"/>
    <mergeCell ref="G118:G123"/>
    <mergeCell ref="B119:B123"/>
    <mergeCell ref="F124:G124"/>
    <mergeCell ref="B124:E126"/>
    <mergeCell ref="B117:H117"/>
    <mergeCell ref="B110:H110"/>
    <mergeCell ref="B103:H103"/>
    <mergeCell ref="B96:H96"/>
    <mergeCell ref="B89:H89"/>
    <mergeCell ref="F125:G125"/>
    <mergeCell ref="G90:G95"/>
    <mergeCell ref="B91:B95"/>
    <mergeCell ref="G97:G102"/>
    <mergeCell ref="B98:B102"/>
    <mergeCell ref="G104:G109"/>
    <mergeCell ref="B105:B109"/>
    <mergeCell ref="G76:G81"/>
    <mergeCell ref="B77:B81"/>
    <mergeCell ref="B82:H82"/>
    <mergeCell ref="B75:H75"/>
    <mergeCell ref="G83:G88"/>
    <mergeCell ref="B84:B88"/>
    <mergeCell ref="B66:C66"/>
    <mergeCell ref="D66:F66"/>
    <mergeCell ref="B67:F67"/>
    <mergeCell ref="G69:G74"/>
    <mergeCell ref="B70:B74"/>
    <mergeCell ref="A5:A123"/>
    <mergeCell ref="G6:G11"/>
    <mergeCell ref="B7:B11"/>
    <mergeCell ref="B12:H12"/>
    <mergeCell ref="G13:G18"/>
    <mergeCell ref="B14:B18"/>
    <mergeCell ref="G20:G25"/>
    <mergeCell ref="B21:B25"/>
    <mergeCell ref="F61:G61"/>
    <mergeCell ref="G34:G39"/>
    <mergeCell ref="B35:B39"/>
    <mergeCell ref="G41:G46"/>
    <mergeCell ref="B42:B46"/>
    <mergeCell ref="F62:G62"/>
    <mergeCell ref="F63:G63"/>
    <mergeCell ref="B65:C65"/>
    <mergeCell ref="B19:H19"/>
    <mergeCell ref="B2:C2"/>
    <mergeCell ref="D2:F2"/>
    <mergeCell ref="H2:H3"/>
    <mergeCell ref="I2:I126"/>
    <mergeCell ref="B3:C3"/>
    <mergeCell ref="D3:F3"/>
    <mergeCell ref="G27:G32"/>
    <mergeCell ref="B28:B32"/>
    <mergeCell ref="G48:G53"/>
    <mergeCell ref="B49:B53"/>
    <mergeCell ref="G55:G60"/>
    <mergeCell ref="B56:B60"/>
    <mergeCell ref="D65:F65"/>
    <mergeCell ref="G65:H67"/>
    <mergeCell ref="B61:E63"/>
    <mergeCell ref="B54:H54"/>
    <mergeCell ref="B47:H47"/>
    <mergeCell ref="B40:H40"/>
    <mergeCell ref="B26:H26"/>
    <mergeCell ref="B33:H33"/>
  </mergeCells>
  <conditionalFormatting sqref="D6">
    <cfRule type="beginsWith" dxfId="211" priority="15" operator="beginsWith" text=".1">
      <formula>LEFT(D6,LEN(".1"))=".1"</formula>
    </cfRule>
  </conditionalFormatting>
  <conditionalFormatting sqref="D7">
    <cfRule type="beginsWith" dxfId="210" priority="14" operator="beginsWith" text=".2">
      <formula>LEFT(D7,LEN(".2"))=".2"</formula>
    </cfRule>
  </conditionalFormatting>
  <conditionalFormatting sqref="D8">
    <cfRule type="beginsWith" dxfId="209" priority="13" operator="beginsWith" text=".3">
      <formula>LEFT(D8,LEN(".3"))=".3"</formula>
    </cfRule>
  </conditionalFormatting>
  <conditionalFormatting sqref="D9">
    <cfRule type="beginsWith" dxfId="208" priority="12" operator="beginsWith" text=".4">
      <formula>LEFT(D9,LEN(".4"))=".4"</formula>
    </cfRule>
  </conditionalFormatting>
  <conditionalFormatting sqref="D10">
    <cfRule type="beginsWith" dxfId="207" priority="11" operator="beginsWith" text=".5">
      <formula>LEFT(D10,LEN(".5"))=".5"</formula>
    </cfRule>
  </conditionalFormatting>
  <conditionalFormatting sqref="D11">
    <cfRule type="beginsWith" dxfId="206" priority="10" operator="beginsWith" text=".6">
      <formula>LEFT(D11,LEN(".6"))=".6"</formula>
    </cfRule>
  </conditionalFormatting>
  <conditionalFormatting sqref="D13 D20 D27 D34 D41 D48 D55 D69 D76 D83 D90 D97 D104 D111 D118">
    <cfRule type="beginsWith" dxfId="205" priority="9" operator="beginsWith" text=".1">
      <formula>LEFT(D13,LEN(".1"))=".1"</formula>
    </cfRule>
  </conditionalFormatting>
  <conditionalFormatting sqref="D14 D21 D28 D35 D42 D49 D56 D70 D77 D84 D91 D98 D105 D112 D119">
    <cfRule type="beginsWith" dxfId="204" priority="8" operator="beginsWith" text=".2">
      <formula>LEFT(D14,LEN(".2"))=".2"</formula>
    </cfRule>
  </conditionalFormatting>
  <conditionalFormatting sqref="D15 D22 D29 D36 D43 D50 D57 D71 D78 D85 D92 D99 D106 D113 D120">
    <cfRule type="beginsWith" dxfId="203" priority="7" operator="beginsWith" text=".3">
      <formula>LEFT(D15,LEN(".3"))=".3"</formula>
    </cfRule>
  </conditionalFormatting>
  <conditionalFormatting sqref="D16 D23 D30 D37 D44 D51 D58 D72 D79 D86 D93 D100 D107 D114 D121">
    <cfRule type="beginsWith" dxfId="202" priority="6" operator="beginsWith" text=".4">
      <formula>LEFT(D16,LEN(".4"))=".4"</formula>
    </cfRule>
  </conditionalFormatting>
  <conditionalFormatting sqref="D17 D24 D31 D38 D45 D52 D59 D73 D80 D87 D94 D101 D108 D115 D122">
    <cfRule type="beginsWith" dxfId="201" priority="5" operator="beginsWith" text=".5">
      <formula>LEFT(D17,LEN(".5"))=".5"</formula>
    </cfRule>
  </conditionalFormatting>
  <conditionalFormatting sqref="D18 D25 D32 D39 D46 D53 D60 D74 D81 D88 D95 D102 D109 D116 D123">
    <cfRule type="beginsWith" dxfId="200" priority="4" operator="beginsWith" text=".6">
      <formula>LEFT(D18,LEN(".6"))=".6"</formula>
    </cfRule>
  </conditionalFormatting>
  <conditionalFormatting sqref="D2:F2">
    <cfRule type="cellIs" dxfId="199" priority="2" operator="equal">
      <formula>0</formula>
    </cfRule>
  </conditionalFormatting>
  <conditionalFormatting sqref="D65:F66">
    <cfRule type="cellIs" dxfId="198" priority="1" operator="equal">
      <formula>0</formula>
    </cfRule>
  </conditionalFormatting>
  <conditionalFormatting sqref="G65">
    <cfRule type="cellIs" dxfId="197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" xr:uid="{90A25555-57C0-49A2-877F-61533F5DCA6E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5464-0261-4BAA-990B-CCA04E5F75E0}">
  <dimension ref="A1:L142"/>
  <sheetViews>
    <sheetView showZeros="0" view="pageBreakPreview" topLeftCell="A51" zoomScale="155" zoomScaleNormal="110" zoomScaleSheetLayoutView="155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6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6-1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6-2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6-3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6-4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6-5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6-6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6-7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6-8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6-9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6-10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6-11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6-12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6-13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6-14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6-15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6-16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6-17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6-18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6-19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6-20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6-21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6-22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6-23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6-24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6-25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6-26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6-27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6-28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6-29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6-30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6-31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6-32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6-33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6-34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6-35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6-36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6-37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6-38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6-39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6-40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6-41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6-42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6-43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6-44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6-45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6-46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6-47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6-48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6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6-CHL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6-49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6-50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6-51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6-52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6-53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6-54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6-55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6-56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6-57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6-58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6-59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6-60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6-61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6-62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6-63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6-64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6-65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6-66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6-67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6-68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6-69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6-70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6-71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6-72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6-73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6-74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6-75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6-76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6-77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6-78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6-79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6-80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6-81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6-82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6-83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6-84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6-85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6-86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6-87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6-88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6-89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6-90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6-91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6-92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6-93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6-94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6-95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6-96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B124:E126"/>
    <mergeCell ref="F124:G124"/>
    <mergeCell ref="F125:G125"/>
    <mergeCell ref="F126:G126"/>
    <mergeCell ref="G97:G102"/>
    <mergeCell ref="B98:B102"/>
    <mergeCell ref="B103:H103"/>
    <mergeCell ref="G104:G109"/>
    <mergeCell ref="B105:B109"/>
    <mergeCell ref="B110:H110"/>
    <mergeCell ref="G111:G116"/>
    <mergeCell ref="B112:B116"/>
    <mergeCell ref="B117:H117"/>
    <mergeCell ref="G118:G123"/>
    <mergeCell ref="B119:B123"/>
    <mergeCell ref="B96:H96"/>
    <mergeCell ref="G69:G74"/>
    <mergeCell ref="B70:B74"/>
    <mergeCell ref="B75:H75"/>
    <mergeCell ref="G76:G81"/>
    <mergeCell ref="B77:B81"/>
    <mergeCell ref="B82:H82"/>
    <mergeCell ref="G83:G88"/>
    <mergeCell ref="B84:B88"/>
    <mergeCell ref="B89:H89"/>
    <mergeCell ref="G90:G95"/>
    <mergeCell ref="B91:B95"/>
    <mergeCell ref="G55:G60"/>
    <mergeCell ref="B56:B60"/>
    <mergeCell ref="B65:C65"/>
    <mergeCell ref="D65:F65"/>
    <mergeCell ref="G65:H67"/>
    <mergeCell ref="B66:C66"/>
    <mergeCell ref="D66:F66"/>
    <mergeCell ref="B67:F67"/>
    <mergeCell ref="A5:A123"/>
    <mergeCell ref="G6:G11"/>
    <mergeCell ref="B7:B11"/>
    <mergeCell ref="B12:H12"/>
    <mergeCell ref="G13:G18"/>
    <mergeCell ref="B14:B18"/>
    <mergeCell ref="B19:H19"/>
    <mergeCell ref="G20:G25"/>
    <mergeCell ref="B21:B25"/>
    <mergeCell ref="B26:H26"/>
    <mergeCell ref="B61:E63"/>
    <mergeCell ref="F61:G61"/>
    <mergeCell ref="F62:G62"/>
    <mergeCell ref="F63:G63"/>
    <mergeCell ref="G34:G39"/>
    <mergeCell ref="B35:B39"/>
    <mergeCell ref="B2:C2"/>
    <mergeCell ref="D2:F2"/>
    <mergeCell ref="H2:H3"/>
    <mergeCell ref="I2:I126"/>
    <mergeCell ref="B3:C3"/>
    <mergeCell ref="D3:F3"/>
    <mergeCell ref="G27:G32"/>
    <mergeCell ref="B28:B32"/>
    <mergeCell ref="B33:H33"/>
    <mergeCell ref="B40:H40"/>
    <mergeCell ref="G41:G46"/>
    <mergeCell ref="B42:B46"/>
    <mergeCell ref="B47:H47"/>
    <mergeCell ref="G48:G53"/>
    <mergeCell ref="B49:B53"/>
    <mergeCell ref="B54:H54"/>
  </mergeCells>
  <conditionalFormatting sqref="D6">
    <cfRule type="beginsWith" dxfId="196" priority="15" operator="beginsWith" text=".1">
      <formula>LEFT(D6,LEN(".1"))=".1"</formula>
    </cfRule>
  </conditionalFormatting>
  <conditionalFormatting sqref="D7">
    <cfRule type="beginsWith" dxfId="195" priority="14" operator="beginsWith" text=".2">
      <formula>LEFT(D7,LEN(".2"))=".2"</formula>
    </cfRule>
  </conditionalFormatting>
  <conditionalFormatting sqref="D8">
    <cfRule type="beginsWith" dxfId="194" priority="13" operator="beginsWith" text=".3">
      <formula>LEFT(D8,LEN(".3"))=".3"</formula>
    </cfRule>
  </conditionalFormatting>
  <conditionalFormatting sqref="D9">
    <cfRule type="beginsWith" dxfId="193" priority="12" operator="beginsWith" text=".4">
      <formula>LEFT(D9,LEN(".4"))=".4"</formula>
    </cfRule>
  </conditionalFormatting>
  <conditionalFormatting sqref="D10">
    <cfRule type="beginsWith" dxfId="192" priority="11" operator="beginsWith" text=".5">
      <formula>LEFT(D10,LEN(".5"))=".5"</formula>
    </cfRule>
  </conditionalFormatting>
  <conditionalFormatting sqref="D11">
    <cfRule type="beginsWith" dxfId="191" priority="10" operator="beginsWith" text=".6">
      <formula>LEFT(D11,LEN(".6"))=".6"</formula>
    </cfRule>
  </conditionalFormatting>
  <conditionalFormatting sqref="D13 D20 D27 D34 D41 D48 D55 D69 D76 D83 D90 D97 D104 D111 D118">
    <cfRule type="beginsWith" dxfId="190" priority="9" operator="beginsWith" text=".1">
      <formula>LEFT(D13,LEN(".1"))=".1"</formula>
    </cfRule>
  </conditionalFormatting>
  <conditionalFormatting sqref="D14 D21 D28 D35 D42 D49 D56 D70 D77 D84 D91 D98 D105 D112 D119">
    <cfRule type="beginsWith" dxfId="189" priority="8" operator="beginsWith" text=".2">
      <formula>LEFT(D14,LEN(".2"))=".2"</formula>
    </cfRule>
  </conditionalFormatting>
  <conditionalFormatting sqref="D15 D22 D29 D36 D43 D50 D57 D71 D78 D85 D92 D99 D106 D113 D120">
    <cfRule type="beginsWith" dxfId="188" priority="7" operator="beginsWith" text=".3">
      <formula>LEFT(D15,LEN(".3"))=".3"</formula>
    </cfRule>
  </conditionalFormatting>
  <conditionalFormatting sqref="D16 D23 D30 D37 D44 D51 D58 D72 D79 D86 D93 D100 D107 D114 D121">
    <cfRule type="beginsWith" dxfId="187" priority="6" operator="beginsWith" text=".4">
      <formula>LEFT(D16,LEN(".4"))=".4"</formula>
    </cfRule>
  </conditionalFormatting>
  <conditionalFormatting sqref="D17 D24 D31 D38 D45 D52 D59 D73 D80 D87 D94 D101 D108 D115 D122">
    <cfRule type="beginsWith" dxfId="186" priority="5" operator="beginsWith" text=".5">
      <formula>LEFT(D17,LEN(".5"))=".5"</formula>
    </cfRule>
  </conditionalFormatting>
  <conditionalFormatting sqref="D18 D25 D32 D39 D46 D53 D60 D74 D81 D88 D95 D102 D109 D116 D123">
    <cfRule type="beginsWith" dxfId="185" priority="4" operator="beginsWith" text=".6">
      <formula>LEFT(D18,LEN(".6"))=".6"</formula>
    </cfRule>
  </conditionalFormatting>
  <conditionalFormatting sqref="D2:F2">
    <cfRule type="cellIs" dxfId="184" priority="2" operator="equal">
      <formula>0</formula>
    </cfRule>
  </conditionalFormatting>
  <conditionalFormatting sqref="D65:F66">
    <cfRule type="cellIs" dxfId="183" priority="1" operator="equal">
      <formula>0</formula>
    </cfRule>
  </conditionalFormatting>
  <conditionalFormatting sqref="G65">
    <cfRule type="cellIs" dxfId="182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 E69:E74 E76:E81 E83:E88 E90:E95 E97:E102 E104:E109 E111:E116 E118:E123" xr:uid="{6D7D53C0-A808-495F-861B-D6D293102D19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F331-DFE1-4F32-B274-5ADAC2FEBC53}">
  <dimension ref="A1:L142"/>
  <sheetViews>
    <sheetView showZeros="0" view="pageBreakPreview" topLeftCell="A49" zoomScale="155" zoomScaleNormal="110" zoomScaleSheetLayoutView="155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7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7-1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7-2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7-3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7-4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7-5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7-6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7-7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7-8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7-9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7-10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7-11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7-12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7-13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7-14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7-15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7-16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7-17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7-18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7-19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7-20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7-21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7-22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7-23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7-24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7-25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7-26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7-27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7-28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7-29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7-30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7-31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7-32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7-33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7-34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7-35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7-36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7-37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7-38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7-39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7-40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7-41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7-42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7-43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7-44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7-45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7-46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7-47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7-48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7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7-CHL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7-49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7-50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7-51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7-52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7-53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7-54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7-55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7-56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7-57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7-58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7-59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7-60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7-61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7-62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7-63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7-64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7-65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7-66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7-67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7-68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7-69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7-70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7-71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7-72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7-73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7-74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7-75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7-76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7-77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7-78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7-79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7-80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7-81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7-82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7-83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7-84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7-85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7-86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7-87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7-88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7-89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7-90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7-91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7-92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7-93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7-94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7-95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7-96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B124:E126"/>
    <mergeCell ref="F124:G124"/>
    <mergeCell ref="F125:G125"/>
    <mergeCell ref="F126:G126"/>
    <mergeCell ref="G97:G102"/>
    <mergeCell ref="B98:B102"/>
    <mergeCell ref="B103:H103"/>
    <mergeCell ref="G104:G109"/>
    <mergeCell ref="B105:B109"/>
    <mergeCell ref="B110:H110"/>
    <mergeCell ref="G111:G116"/>
    <mergeCell ref="B112:B116"/>
    <mergeCell ref="B117:H117"/>
    <mergeCell ref="G118:G123"/>
    <mergeCell ref="B119:B123"/>
    <mergeCell ref="B96:H96"/>
    <mergeCell ref="G69:G74"/>
    <mergeCell ref="B70:B74"/>
    <mergeCell ref="B75:H75"/>
    <mergeCell ref="G76:G81"/>
    <mergeCell ref="B77:B81"/>
    <mergeCell ref="B82:H82"/>
    <mergeCell ref="G83:G88"/>
    <mergeCell ref="B84:B88"/>
    <mergeCell ref="B89:H89"/>
    <mergeCell ref="G90:G95"/>
    <mergeCell ref="B91:B95"/>
    <mergeCell ref="G55:G60"/>
    <mergeCell ref="B56:B60"/>
    <mergeCell ref="B65:C65"/>
    <mergeCell ref="D65:F65"/>
    <mergeCell ref="G65:H67"/>
    <mergeCell ref="B66:C66"/>
    <mergeCell ref="D66:F66"/>
    <mergeCell ref="B67:F67"/>
    <mergeCell ref="A5:A123"/>
    <mergeCell ref="G6:G11"/>
    <mergeCell ref="B7:B11"/>
    <mergeCell ref="B12:H12"/>
    <mergeCell ref="G13:G18"/>
    <mergeCell ref="B14:B18"/>
    <mergeCell ref="B19:H19"/>
    <mergeCell ref="G20:G25"/>
    <mergeCell ref="B21:B25"/>
    <mergeCell ref="B26:H26"/>
    <mergeCell ref="B61:E63"/>
    <mergeCell ref="F61:G61"/>
    <mergeCell ref="F62:G62"/>
    <mergeCell ref="F63:G63"/>
    <mergeCell ref="G34:G39"/>
    <mergeCell ref="B35:B39"/>
    <mergeCell ref="B2:C2"/>
    <mergeCell ref="D2:F2"/>
    <mergeCell ref="H2:H3"/>
    <mergeCell ref="I2:I126"/>
    <mergeCell ref="B3:C3"/>
    <mergeCell ref="D3:F3"/>
    <mergeCell ref="G27:G32"/>
    <mergeCell ref="B28:B32"/>
    <mergeCell ref="B33:H33"/>
    <mergeCell ref="B40:H40"/>
    <mergeCell ref="G41:G46"/>
    <mergeCell ref="B42:B46"/>
    <mergeCell ref="B47:H47"/>
    <mergeCell ref="G48:G53"/>
    <mergeCell ref="B49:B53"/>
    <mergeCell ref="B54:H54"/>
  </mergeCells>
  <conditionalFormatting sqref="D6">
    <cfRule type="beginsWith" dxfId="181" priority="15" operator="beginsWith" text=".1">
      <formula>LEFT(D6,LEN(".1"))=".1"</formula>
    </cfRule>
  </conditionalFormatting>
  <conditionalFormatting sqref="D7">
    <cfRule type="beginsWith" dxfId="180" priority="14" operator="beginsWith" text=".2">
      <formula>LEFT(D7,LEN(".2"))=".2"</formula>
    </cfRule>
  </conditionalFormatting>
  <conditionalFormatting sqref="D8">
    <cfRule type="beginsWith" dxfId="179" priority="13" operator="beginsWith" text=".3">
      <formula>LEFT(D8,LEN(".3"))=".3"</formula>
    </cfRule>
  </conditionalFormatting>
  <conditionalFormatting sqref="D9">
    <cfRule type="beginsWith" dxfId="178" priority="12" operator="beginsWith" text=".4">
      <formula>LEFT(D9,LEN(".4"))=".4"</formula>
    </cfRule>
  </conditionalFormatting>
  <conditionalFormatting sqref="D10">
    <cfRule type="beginsWith" dxfId="177" priority="11" operator="beginsWith" text=".5">
      <formula>LEFT(D10,LEN(".5"))=".5"</formula>
    </cfRule>
  </conditionalFormatting>
  <conditionalFormatting sqref="D11">
    <cfRule type="beginsWith" dxfId="176" priority="10" operator="beginsWith" text=".6">
      <formula>LEFT(D11,LEN(".6"))=".6"</formula>
    </cfRule>
  </conditionalFormatting>
  <conditionalFormatting sqref="D13 D20 D27 D34 D41 D48 D55 D69 D76 D83 D90 D97 D104 D111 D118">
    <cfRule type="beginsWith" dxfId="175" priority="9" operator="beginsWith" text=".1">
      <formula>LEFT(D13,LEN(".1"))=".1"</formula>
    </cfRule>
  </conditionalFormatting>
  <conditionalFormatting sqref="D14 D21 D28 D35 D42 D49 D56 D70 D77 D84 D91 D98 D105 D112 D119">
    <cfRule type="beginsWith" dxfId="174" priority="8" operator="beginsWith" text=".2">
      <formula>LEFT(D14,LEN(".2"))=".2"</formula>
    </cfRule>
  </conditionalFormatting>
  <conditionalFormatting sqref="D15 D22 D29 D36 D43 D50 D57 D71 D78 D85 D92 D99 D106 D113 D120">
    <cfRule type="beginsWith" dxfId="173" priority="7" operator="beginsWith" text=".3">
      <formula>LEFT(D15,LEN(".3"))=".3"</formula>
    </cfRule>
  </conditionalFormatting>
  <conditionalFormatting sqref="D16 D23 D30 D37 D44 D51 D58 D72 D79 D86 D93 D100 D107 D114 D121">
    <cfRule type="beginsWith" dxfId="172" priority="6" operator="beginsWith" text=".4">
      <formula>LEFT(D16,LEN(".4"))=".4"</formula>
    </cfRule>
  </conditionalFormatting>
  <conditionalFormatting sqref="D17 D24 D31 D38 D45 D52 D59 D73 D80 D87 D94 D101 D108 D115 D122">
    <cfRule type="beginsWith" dxfId="171" priority="5" operator="beginsWith" text=".5">
      <formula>LEFT(D17,LEN(".5"))=".5"</formula>
    </cfRule>
  </conditionalFormatting>
  <conditionalFormatting sqref="D18 D25 D32 D39 D46 D53 D60 D74 D81 D88 D95 D102 D109 D116 D123">
    <cfRule type="beginsWith" dxfId="170" priority="4" operator="beginsWith" text=".6">
      <formula>LEFT(D18,LEN(".6"))=".6"</formula>
    </cfRule>
  </conditionalFormatting>
  <conditionalFormatting sqref="D2:F2">
    <cfRule type="cellIs" dxfId="169" priority="2" operator="equal">
      <formula>0</formula>
    </cfRule>
  </conditionalFormatting>
  <conditionalFormatting sqref="D65:F66">
    <cfRule type="cellIs" dxfId="168" priority="1" operator="equal">
      <formula>0</formula>
    </cfRule>
  </conditionalFormatting>
  <conditionalFormatting sqref="G65">
    <cfRule type="cellIs" dxfId="167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" xr:uid="{712CCBB0-6C47-4E17-9780-5D3989976A3B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8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014D-97BF-446B-AA32-DB897C90C90D}">
  <dimension ref="A1:L142"/>
  <sheetViews>
    <sheetView showZeros="0" view="pageBreakPreview" topLeftCell="A55" zoomScale="155" zoomScaleNormal="110" zoomScaleSheetLayoutView="155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8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8-1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8-2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8-3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8-4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8-5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8-6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8-7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8-8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8-9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8-10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8-11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8-12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8-13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8-14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8-15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8-16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8-17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8-18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8-19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8-20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8-21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8-22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8-23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8-24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8-25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8-26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8-27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8-28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8-29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8-30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8-31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8-32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8-33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8-34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8-35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8-36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8-37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8-38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8-39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8-40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8-41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8-42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8-43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8-44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8-45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8-46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8-47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8-48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8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8-CHL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8-49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8-50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8-51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8-52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8-53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8-54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8-55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8-56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8-57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8-58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8-59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8-60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8-61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8-62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8-63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8-64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8-65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8-66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8-67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8-68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8-69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8-70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8-71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8-72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8-73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8-74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8-75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8-76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8-77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8-78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8-79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8-80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8-81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8-82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8-83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8-84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8-85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8-86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8-87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8-88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8-89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8-90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8-91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8-92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8-93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8-94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8-95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8-96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B124:E126"/>
    <mergeCell ref="F124:G124"/>
    <mergeCell ref="F125:G125"/>
    <mergeCell ref="F126:G126"/>
    <mergeCell ref="G97:G102"/>
    <mergeCell ref="B98:B102"/>
    <mergeCell ref="B103:H103"/>
    <mergeCell ref="G104:G109"/>
    <mergeCell ref="B105:B109"/>
    <mergeCell ref="B110:H110"/>
    <mergeCell ref="G111:G116"/>
    <mergeCell ref="B112:B116"/>
    <mergeCell ref="B117:H117"/>
    <mergeCell ref="G118:G123"/>
    <mergeCell ref="B119:B123"/>
    <mergeCell ref="B96:H96"/>
    <mergeCell ref="G69:G74"/>
    <mergeCell ref="B70:B74"/>
    <mergeCell ref="B75:H75"/>
    <mergeCell ref="G76:G81"/>
    <mergeCell ref="B77:B81"/>
    <mergeCell ref="B82:H82"/>
    <mergeCell ref="G83:G88"/>
    <mergeCell ref="B84:B88"/>
    <mergeCell ref="B89:H89"/>
    <mergeCell ref="G90:G95"/>
    <mergeCell ref="B91:B95"/>
    <mergeCell ref="G55:G60"/>
    <mergeCell ref="B56:B60"/>
    <mergeCell ref="B65:C65"/>
    <mergeCell ref="D65:F65"/>
    <mergeCell ref="G65:H67"/>
    <mergeCell ref="B66:C66"/>
    <mergeCell ref="D66:F66"/>
    <mergeCell ref="B67:F67"/>
    <mergeCell ref="A5:A123"/>
    <mergeCell ref="G6:G11"/>
    <mergeCell ref="B7:B11"/>
    <mergeCell ref="B12:H12"/>
    <mergeCell ref="G13:G18"/>
    <mergeCell ref="B14:B18"/>
    <mergeCell ref="B19:H19"/>
    <mergeCell ref="G20:G25"/>
    <mergeCell ref="B21:B25"/>
    <mergeCell ref="B26:H26"/>
    <mergeCell ref="B61:E63"/>
    <mergeCell ref="F61:G61"/>
    <mergeCell ref="F62:G62"/>
    <mergeCell ref="F63:G63"/>
    <mergeCell ref="G34:G39"/>
    <mergeCell ref="B35:B39"/>
    <mergeCell ref="B2:C2"/>
    <mergeCell ref="D2:F2"/>
    <mergeCell ref="H2:H3"/>
    <mergeCell ref="I2:I126"/>
    <mergeCell ref="B3:C3"/>
    <mergeCell ref="D3:F3"/>
    <mergeCell ref="G27:G32"/>
    <mergeCell ref="B28:B32"/>
    <mergeCell ref="B33:H33"/>
    <mergeCell ref="B40:H40"/>
    <mergeCell ref="G41:G46"/>
    <mergeCell ref="B42:B46"/>
    <mergeCell ref="B47:H47"/>
    <mergeCell ref="G48:G53"/>
    <mergeCell ref="B49:B53"/>
    <mergeCell ref="B54:H54"/>
  </mergeCells>
  <conditionalFormatting sqref="D6">
    <cfRule type="beginsWith" dxfId="166" priority="15" operator="beginsWith" text=".1">
      <formula>LEFT(D6,LEN(".1"))=".1"</formula>
    </cfRule>
  </conditionalFormatting>
  <conditionalFormatting sqref="D7">
    <cfRule type="beginsWith" dxfId="165" priority="14" operator="beginsWith" text=".2">
      <formula>LEFT(D7,LEN(".2"))=".2"</formula>
    </cfRule>
  </conditionalFormatting>
  <conditionalFormatting sqref="D8">
    <cfRule type="beginsWith" dxfId="164" priority="13" operator="beginsWith" text=".3">
      <formula>LEFT(D8,LEN(".3"))=".3"</formula>
    </cfRule>
  </conditionalFormatting>
  <conditionalFormatting sqref="D9">
    <cfRule type="beginsWith" dxfId="163" priority="12" operator="beginsWith" text=".4">
      <formula>LEFT(D9,LEN(".4"))=".4"</formula>
    </cfRule>
  </conditionalFormatting>
  <conditionalFormatting sqref="D10">
    <cfRule type="beginsWith" dxfId="162" priority="11" operator="beginsWith" text=".5">
      <formula>LEFT(D10,LEN(".5"))=".5"</formula>
    </cfRule>
  </conditionalFormatting>
  <conditionalFormatting sqref="D11">
    <cfRule type="beginsWith" dxfId="161" priority="10" operator="beginsWith" text=".6">
      <formula>LEFT(D11,LEN(".6"))=".6"</formula>
    </cfRule>
  </conditionalFormatting>
  <conditionalFormatting sqref="D13 D20 D27 D34 D41 D48 D55 D69 D76 D83 D90 D97 D104 D111 D118">
    <cfRule type="beginsWith" dxfId="160" priority="9" operator="beginsWith" text=".1">
      <formula>LEFT(D13,LEN(".1"))=".1"</formula>
    </cfRule>
  </conditionalFormatting>
  <conditionalFormatting sqref="D14 D21 D28 D35 D42 D49 D56 D70 D77 D84 D91 D98 D105 D112 D119">
    <cfRule type="beginsWith" dxfId="159" priority="8" operator="beginsWith" text=".2">
      <formula>LEFT(D14,LEN(".2"))=".2"</formula>
    </cfRule>
  </conditionalFormatting>
  <conditionalFormatting sqref="D15 D22 D29 D36 D43 D50 D57 D71 D78 D85 D92 D99 D106 D113 D120">
    <cfRule type="beginsWith" dxfId="158" priority="7" operator="beginsWith" text=".3">
      <formula>LEFT(D15,LEN(".3"))=".3"</formula>
    </cfRule>
  </conditionalFormatting>
  <conditionalFormatting sqref="D16 D23 D30 D37 D44 D51 D58 D72 D79 D86 D93 D100 D107 D114 D121">
    <cfRule type="beginsWith" dxfId="157" priority="6" operator="beginsWith" text=".4">
      <formula>LEFT(D16,LEN(".4"))=".4"</formula>
    </cfRule>
  </conditionalFormatting>
  <conditionalFormatting sqref="D17 D24 D31 D38 D45 D52 D59 D73 D80 D87 D94 D101 D108 D115 D122">
    <cfRule type="beginsWith" dxfId="156" priority="5" operator="beginsWith" text=".5">
      <formula>LEFT(D17,LEN(".5"))=".5"</formula>
    </cfRule>
  </conditionalFormatting>
  <conditionalFormatting sqref="D18 D25 D32 D39 D46 D53 D60 D74 D81 D88 D95 D102 D109 D116 D123">
    <cfRule type="beginsWith" dxfId="155" priority="4" operator="beginsWith" text=".6">
      <formula>LEFT(D18,LEN(".6"))=".6"</formula>
    </cfRule>
  </conditionalFormatting>
  <conditionalFormatting sqref="D2:F2">
    <cfRule type="cellIs" dxfId="154" priority="2" operator="equal">
      <formula>0</formula>
    </cfRule>
  </conditionalFormatting>
  <conditionalFormatting sqref="D65:F66">
    <cfRule type="cellIs" dxfId="153" priority="1" operator="equal">
      <formula>0</formula>
    </cfRule>
  </conditionalFormatting>
  <conditionalFormatting sqref="G65">
    <cfRule type="cellIs" dxfId="152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 E69:E74 E76:E81 E83:E88 E90:E95 E97:E102 E104:E109 E111:E116 E118:E123" xr:uid="{2264C339-6F4E-4112-83A4-AA05E7278EB7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A969-5BFF-40F8-8985-B8AAE3F0DEF3}">
  <dimension ref="A1:L142"/>
  <sheetViews>
    <sheetView showZeros="0" view="pageBreakPreview" topLeftCell="A45" zoomScale="155" zoomScaleNormal="110" zoomScaleSheetLayoutView="155" zoomScalePageLayoutView="140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9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9-1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9-2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9-3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9-4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9-5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9-6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9-7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9-8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9-9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9-10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9-11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9-12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9-13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9-14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9-15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9-16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9-17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9-18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9-19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9-20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9-21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9-22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9-23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9-24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9-25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9-26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9-27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9-28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9-29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9-30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9-31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9-32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9-33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9-34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9-35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9-36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9-37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9-38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9-39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9-40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9-41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9-42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9-43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9-44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9-45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9-46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9-47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9-48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9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9-CHL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9-49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9-50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9-51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9-52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9-53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9-54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9-55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9-56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9-57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9-58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9-59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9-60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9-61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9-62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9-63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9-64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9-65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9-66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9-67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9-68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9-69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9-70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9-71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9-72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9-73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9-74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9-75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9-76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9-77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9-78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9-79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9-80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9-81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9-82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9-83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9-84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9-85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9-86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9-87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9-88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9-89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9-90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9-91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9-92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9-93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9-94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9-95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9-96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B124:E126"/>
    <mergeCell ref="F124:G124"/>
    <mergeCell ref="F125:G125"/>
    <mergeCell ref="F126:G126"/>
    <mergeCell ref="G97:G102"/>
    <mergeCell ref="B98:B102"/>
    <mergeCell ref="B103:H103"/>
    <mergeCell ref="G104:G109"/>
    <mergeCell ref="B105:B109"/>
    <mergeCell ref="B110:H110"/>
    <mergeCell ref="G111:G116"/>
    <mergeCell ref="B112:B116"/>
    <mergeCell ref="B117:H117"/>
    <mergeCell ref="G118:G123"/>
    <mergeCell ref="B119:B123"/>
    <mergeCell ref="B96:H96"/>
    <mergeCell ref="G69:G74"/>
    <mergeCell ref="B70:B74"/>
    <mergeCell ref="B75:H75"/>
    <mergeCell ref="G76:G81"/>
    <mergeCell ref="B77:B81"/>
    <mergeCell ref="B82:H82"/>
    <mergeCell ref="G83:G88"/>
    <mergeCell ref="B84:B88"/>
    <mergeCell ref="B89:H89"/>
    <mergeCell ref="G90:G95"/>
    <mergeCell ref="B91:B95"/>
    <mergeCell ref="G55:G60"/>
    <mergeCell ref="B56:B60"/>
    <mergeCell ref="B65:C65"/>
    <mergeCell ref="D65:F65"/>
    <mergeCell ref="G65:H67"/>
    <mergeCell ref="B66:C66"/>
    <mergeCell ref="D66:F66"/>
    <mergeCell ref="B67:F67"/>
    <mergeCell ref="A5:A123"/>
    <mergeCell ref="G6:G11"/>
    <mergeCell ref="B7:B11"/>
    <mergeCell ref="B12:H12"/>
    <mergeCell ref="G13:G18"/>
    <mergeCell ref="B14:B18"/>
    <mergeCell ref="B19:H19"/>
    <mergeCell ref="G20:G25"/>
    <mergeCell ref="B21:B25"/>
    <mergeCell ref="B26:H26"/>
    <mergeCell ref="B61:E63"/>
    <mergeCell ref="F61:G61"/>
    <mergeCell ref="F62:G62"/>
    <mergeCell ref="F63:G63"/>
    <mergeCell ref="G34:G39"/>
    <mergeCell ref="B35:B39"/>
    <mergeCell ref="B2:C2"/>
    <mergeCell ref="D2:F2"/>
    <mergeCell ref="H2:H3"/>
    <mergeCell ref="I2:I126"/>
    <mergeCell ref="B3:C3"/>
    <mergeCell ref="D3:F3"/>
    <mergeCell ref="G27:G32"/>
    <mergeCell ref="B28:B32"/>
    <mergeCell ref="B33:H33"/>
    <mergeCell ref="B40:H40"/>
    <mergeCell ref="G41:G46"/>
    <mergeCell ref="B42:B46"/>
    <mergeCell ref="B47:H47"/>
    <mergeCell ref="G48:G53"/>
    <mergeCell ref="B49:B53"/>
    <mergeCell ref="B54:H54"/>
  </mergeCells>
  <conditionalFormatting sqref="D6">
    <cfRule type="beginsWith" dxfId="151" priority="15" operator="beginsWith" text=".1">
      <formula>LEFT(D6,LEN(".1"))=".1"</formula>
    </cfRule>
  </conditionalFormatting>
  <conditionalFormatting sqref="D7">
    <cfRule type="beginsWith" dxfId="150" priority="14" operator="beginsWith" text=".2">
      <formula>LEFT(D7,LEN(".2"))=".2"</formula>
    </cfRule>
  </conditionalFormatting>
  <conditionalFormatting sqref="D8">
    <cfRule type="beginsWith" dxfId="149" priority="13" operator="beginsWith" text=".3">
      <formula>LEFT(D8,LEN(".3"))=".3"</formula>
    </cfRule>
  </conditionalFormatting>
  <conditionalFormatting sqref="D9">
    <cfRule type="beginsWith" dxfId="148" priority="12" operator="beginsWith" text=".4">
      <formula>LEFT(D9,LEN(".4"))=".4"</formula>
    </cfRule>
  </conditionalFormatting>
  <conditionalFormatting sqref="D10">
    <cfRule type="beginsWith" dxfId="147" priority="11" operator="beginsWith" text=".5">
      <formula>LEFT(D10,LEN(".5"))=".5"</formula>
    </cfRule>
  </conditionalFormatting>
  <conditionalFormatting sqref="D11">
    <cfRule type="beginsWith" dxfId="146" priority="10" operator="beginsWith" text=".6">
      <formula>LEFT(D11,LEN(".6"))=".6"</formula>
    </cfRule>
  </conditionalFormatting>
  <conditionalFormatting sqref="D13 D20 D27 D34 D41 D48 D55 D69 D76 D83 D90 D97 D104 D111 D118">
    <cfRule type="beginsWith" dxfId="145" priority="9" operator="beginsWith" text=".1">
      <formula>LEFT(D13,LEN(".1"))=".1"</formula>
    </cfRule>
  </conditionalFormatting>
  <conditionalFormatting sqref="D14 D21 D28 D35 D42 D49 D56 D70 D77 D84 D91 D98 D105 D112 D119">
    <cfRule type="beginsWith" dxfId="144" priority="8" operator="beginsWith" text=".2">
      <formula>LEFT(D14,LEN(".2"))=".2"</formula>
    </cfRule>
  </conditionalFormatting>
  <conditionalFormatting sqref="D15 D22 D29 D36 D43 D50 D57 D71 D78 D85 D92 D99 D106 D113 D120">
    <cfRule type="beginsWith" dxfId="143" priority="7" operator="beginsWith" text=".3">
      <formula>LEFT(D15,LEN(".3"))=".3"</formula>
    </cfRule>
  </conditionalFormatting>
  <conditionalFormatting sqref="D16 D23 D30 D37 D44 D51 D58 D72 D79 D86 D93 D100 D107 D114 D121">
    <cfRule type="beginsWith" dxfId="142" priority="6" operator="beginsWith" text=".4">
      <formula>LEFT(D16,LEN(".4"))=".4"</formula>
    </cfRule>
  </conditionalFormatting>
  <conditionalFormatting sqref="D17 D24 D31 D38 D45 D52 D59 D73 D80 D87 D94 D101 D108 D115 D122">
    <cfRule type="beginsWith" dxfId="141" priority="5" operator="beginsWith" text=".5">
      <formula>LEFT(D17,LEN(".5"))=".5"</formula>
    </cfRule>
  </conditionalFormatting>
  <conditionalFormatting sqref="D18 D25 D32 D39 D46 D53 D60 D74 D81 D88 D95 D102 D109 D116 D123">
    <cfRule type="beginsWith" dxfId="140" priority="4" operator="beginsWith" text=".6">
      <formula>LEFT(D18,LEN(".6"))=".6"</formula>
    </cfRule>
  </conditionalFormatting>
  <conditionalFormatting sqref="D2:F2">
    <cfRule type="cellIs" dxfId="139" priority="2" operator="equal">
      <formula>0</formula>
    </cfRule>
  </conditionalFormatting>
  <conditionalFormatting sqref="D65:F66">
    <cfRule type="cellIs" dxfId="138" priority="1" operator="equal">
      <formula>0</formula>
    </cfRule>
  </conditionalFormatting>
  <conditionalFormatting sqref="G65">
    <cfRule type="cellIs" dxfId="137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 E69:E74 E76:E81 E83:E88 E90:E95 E97:E102 E104:E109 E111:E116 E118:E123" xr:uid="{B875E56A-894E-4408-B80C-F448F5FF5178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5142-FE78-42E1-BE9B-22E3D6E6B07F}">
  <dimension ref="A1:L142"/>
  <sheetViews>
    <sheetView showZeros="0" view="pageBreakPreview" zoomScale="155" zoomScaleNormal="110" zoomScaleSheetLayoutView="155" workbookViewId="0">
      <selection activeCell="C6" sqref="C6:H7"/>
    </sheetView>
  </sheetViews>
  <sheetFormatPr defaultColWidth="10.796875" defaultRowHeight="12.9" customHeight="1"/>
  <cols>
    <col min="1" max="1" width="0.8984375" style="38" customWidth="1"/>
    <col min="2" max="2" width="8" style="38" customWidth="1"/>
    <col min="3" max="3" width="5.69921875" style="207" customWidth="1"/>
    <col min="4" max="4" width="10.59765625" style="207" customWidth="1"/>
    <col min="5" max="5" width="18.3984375" style="207" customWidth="1"/>
    <col min="6" max="6" width="22.19921875" style="46" customWidth="1"/>
    <col min="7" max="7" width="14.69921875" style="46" customWidth="1"/>
    <col min="8" max="8" width="7.5" style="46" customWidth="1"/>
    <col min="9" max="9" width="1.5" style="38" customWidth="1"/>
    <col min="10" max="10" width="14.5" style="38" customWidth="1"/>
    <col min="11" max="24" width="5.296875" style="38" customWidth="1"/>
    <col min="25" max="16384" width="10.796875" style="38"/>
  </cols>
  <sheetData>
    <row r="1" spans="1:11" ht="2.1" customHeight="1" thickBot="1">
      <c r="C1" s="46"/>
      <c r="D1" s="46"/>
      <c r="E1" s="46"/>
    </row>
    <row r="2" spans="1:11" ht="17.100000000000001" customHeight="1" thickBot="1">
      <c r="B2" s="309" t="s">
        <v>0</v>
      </c>
      <c r="C2" s="311"/>
      <c r="D2" s="300" t="str">
        <f>Fixtures!C2</f>
        <v>Untitled Show</v>
      </c>
      <c r="E2" s="301"/>
      <c r="F2" s="302"/>
      <c r="G2" s="71"/>
      <c r="H2" s="310"/>
      <c r="I2" s="288"/>
      <c r="J2" s="240"/>
    </row>
    <row r="3" spans="1:11" ht="17.100000000000001" customHeight="1" thickBot="1">
      <c r="B3" s="309" t="s">
        <v>72</v>
      </c>
      <c r="C3" s="311"/>
      <c r="D3" s="312">
        <v>10</v>
      </c>
      <c r="E3" s="313"/>
      <c r="F3" s="314"/>
      <c r="G3" s="71"/>
      <c r="H3" s="310"/>
      <c r="I3" s="288"/>
    </row>
    <row r="4" spans="1:11" ht="16.2" customHeight="1" thickBot="1">
      <c r="B4" s="309" t="s">
        <v>153</v>
      </c>
      <c r="C4" s="409"/>
      <c r="D4" s="413" t="str">
        <f>_xlfn.IFNA(_xlfn.XLOOKUP($D$3, Power_Patch[Rack Number],Power_Patch[Rack Name]), "")</f>
        <v/>
      </c>
      <c r="E4" s="414"/>
      <c r="F4" s="415" t="str">
        <f>_xlfn.IFNA(_xlfn.XLOOKUP($D$3, Power_Patch[Rack Number],Power_Patch[Rack Type]), "")</f>
        <v/>
      </c>
      <c r="G4" s="258"/>
      <c r="H4" s="257"/>
      <c r="I4" s="288"/>
    </row>
    <row r="5" spans="1:11" ht="12.9" customHeight="1" thickBot="1">
      <c r="A5" s="288"/>
      <c r="B5" s="64"/>
      <c r="C5" s="7" t="s">
        <v>1</v>
      </c>
      <c r="D5" s="109" t="s">
        <v>2</v>
      </c>
      <c r="E5" s="110" t="s">
        <v>3</v>
      </c>
      <c r="F5" s="8" t="s">
        <v>4</v>
      </c>
      <c r="G5" s="8" t="s">
        <v>5</v>
      </c>
      <c r="H5" s="9" t="s">
        <v>6</v>
      </c>
      <c r="I5" s="288"/>
      <c r="K5" s="240" t="s">
        <v>135</v>
      </c>
    </row>
    <row r="6" spans="1:11" ht="13.35" customHeight="1">
      <c r="A6" s="288"/>
      <c r="B6" s="126" t="s">
        <v>68</v>
      </c>
      <c r="C6" s="6">
        <v>1</v>
      </c>
      <c r="D6" s="114" t="str">
        <f>B7&amp;".1"</f>
        <v>.1</v>
      </c>
      <c r="E6" s="82" t="str">
        <f>_xlfn.IFNA(_xlfn.XLOOKUP($K6, Power_Patch[Combined Rack Number and Outlet],Power_Patch[Fixture Type]), "")</f>
        <v/>
      </c>
      <c r="F6" s="82" t="str">
        <f>_xlfn.IFNA(_xlfn.XLOOKUP($K6, Power_Patch[Combined Rack Number and Outlet],Power_Patch[Fixture Number]), "")</f>
        <v/>
      </c>
      <c r="G6" s="294" t="str">
        <f>_xlfn.IFNA(_xlfn.XLOOKUP($K6, Power_Patch[Combined Rack Number and Outlet],Power_Patch[Location]), "")</f>
        <v/>
      </c>
      <c r="H6" s="203" t="str">
        <f t="shared" ref="H6:H11" si="0">IFERROR(VLOOKUP(E6,ActiveFixtures,2,FALSE),"")</f>
        <v/>
      </c>
      <c r="I6" s="288"/>
      <c r="K6" s="38" t="str">
        <f>IF(ISBLANK(C6), "", $D$3&amp;"-"&amp;$C6)</f>
        <v>10-1</v>
      </c>
    </row>
    <row r="7" spans="1:11" ht="13.35" customHeight="1">
      <c r="A7" s="288"/>
      <c r="B7" s="406" t="str">
        <f>_xlfn.IFNA(_xlfn.XLOOKUP($K6, Power_Patch[Combined Rack Number and Outlet],Power_Patch[Multi Name]), "")</f>
        <v/>
      </c>
      <c r="C7" s="10">
        <v>2</v>
      </c>
      <c r="D7" s="115" t="str">
        <f>B7&amp;".2"</f>
        <v>.2</v>
      </c>
      <c r="E7" s="82" t="str">
        <f>_xlfn.IFNA(_xlfn.XLOOKUP($K7, Power_Patch[Combined Rack Number and Outlet],Power_Patch[Fixture Type]), "")</f>
        <v/>
      </c>
      <c r="F7" s="82" t="str">
        <f>_xlfn.IFNA(_xlfn.XLOOKUP($K7, Power_Patch[Combined Rack Number and Outlet],Power_Patch[Fixture Number]), "")</f>
        <v/>
      </c>
      <c r="G7" s="295"/>
      <c r="H7" s="11" t="str">
        <f t="shared" si="0"/>
        <v/>
      </c>
      <c r="I7" s="288"/>
      <c r="K7" s="38" t="str">
        <f t="shared" ref="K7:K70" si="1">IF(ISBLANK(C7), "", $D$3&amp;"-"&amp;$C7)</f>
        <v>10-2</v>
      </c>
    </row>
    <row r="8" spans="1:11" ht="13.35" customHeight="1">
      <c r="A8" s="288"/>
      <c r="B8" s="407"/>
      <c r="C8" s="10">
        <v>3</v>
      </c>
      <c r="D8" s="114" t="str">
        <f>B7&amp;".3"</f>
        <v>.3</v>
      </c>
      <c r="E8" s="82" t="str">
        <f>_xlfn.IFNA(_xlfn.XLOOKUP($K8, Power_Patch[Combined Rack Number and Outlet],Power_Patch[Fixture Type]), "")</f>
        <v/>
      </c>
      <c r="F8" s="82" t="str">
        <f>_xlfn.IFNA(_xlfn.XLOOKUP($K8, Power_Patch[Combined Rack Number and Outlet],Power_Patch[Fixture Number]), "")</f>
        <v/>
      </c>
      <c r="G8" s="295"/>
      <c r="H8" s="12" t="str">
        <f t="shared" si="0"/>
        <v/>
      </c>
      <c r="I8" s="288"/>
      <c r="K8" s="38" t="str">
        <f t="shared" si="1"/>
        <v>10-3</v>
      </c>
    </row>
    <row r="9" spans="1:11" ht="13.35" customHeight="1">
      <c r="A9" s="288"/>
      <c r="B9" s="407"/>
      <c r="C9" s="10">
        <v>4</v>
      </c>
      <c r="D9" s="115" t="str">
        <f>B7&amp;".4"</f>
        <v>.4</v>
      </c>
      <c r="E9" s="82" t="str">
        <f>_xlfn.IFNA(_xlfn.XLOOKUP($K9, Power_Patch[Combined Rack Number and Outlet],Power_Patch[Fixture Type]), "")</f>
        <v/>
      </c>
      <c r="F9" s="82" t="str">
        <f>_xlfn.IFNA(_xlfn.XLOOKUP($K9, Power_Patch[Combined Rack Number and Outlet],Power_Patch[Fixture Number]), "")</f>
        <v/>
      </c>
      <c r="G9" s="295"/>
      <c r="H9" s="204" t="str">
        <f t="shared" si="0"/>
        <v/>
      </c>
      <c r="I9" s="288"/>
      <c r="K9" s="38" t="str">
        <f t="shared" si="1"/>
        <v>10-4</v>
      </c>
    </row>
    <row r="10" spans="1:11" ht="13.35" customHeight="1">
      <c r="A10" s="288"/>
      <c r="B10" s="407"/>
      <c r="C10" s="10">
        <v>5</v>
      </c>
      <c r="D10" s="114" t="str">
        <f>B7&amp;".5"</f>
        <v>.5</v>
      </c>
      <c r="E10" s="82" t="str">
        <f>_xlfn.IFNA(_xlfn.XLOOKUP($K10, Power_Patch[Combined Rack Number and Outlet],Power_Patch[Fixture Type]), "")</f>
        <v/>
      </c>
      <c r="F10" s="82" t="str">
        <f>_xlfn.IFNA(_xlfn.XLOOKUP($K10, Power_Patch[Combined Rack Number and Outlet],Power_Patch[Fixture Number]), "")</f>
        <v/>
      </c>
      <c r="G10" s="295"/>
      <c r="H10" s="11" t="str">
        <f t="shared" si="0"/>
        <v/>
      </c>
      <c r="I10" s="288"/>
      <c r="K10" s="38" t="str">
        <f t="shared" si="1"/>
        <v>10-5</v>
      </c>
    </row>
    <row r="11" spans="1:11" ht="13.35" customHeight="1" thickBot="1">
      <c r="A11" s="288"/>
      <c r="B11" s="408"/>
      <c r="C11" s="125">
        <v>6</v>
      </c>
      <c r="D11" s="115" t="str">
        <f>B7&amp;".6"</f>
        <v>.6</v>
      </c>
      <c r="E11" s="82" t="str">
        <f>_xlfn.IFNA(_xlfn.XLOOKUP($K11, Power_Patch[Combined Rack Number and Outlet],Power_Patch[Fixture Type]), "")</f>
        <v/>
      </c>
      <c r="F11" s="82" t="str">
        <f>_xlfn.IFNA(_xlfn.XLOOKUP($K11, Power_Patch[Combined Rack Number and Outlet],Power_Patch[Fixture Number]), "")</f>
        <v/>
      </c>
      <c r="G11" s="296"/>
      <c r="H11" s="12" t="str">
        <f t="shared" si="0"/>
        <v/>
      </c>
      <c r="I11" s="288"/>
      <c r="K11" s="38" t="str">
        <f t="shared" si="1"/>
        <v>10-6</v>
      </c>
    </row>
    <row r="12" spans="1:11" ht="9.9" customHeight="1" thickBot="1">
      <c r="A12" s="288"/>
      <c r="B12" s="297"/>
      <c r="C12" s="297"/>
      <c r="D12" s="297"/>
      <c r="E12" s="297"/>
      <c r="F12" s="297"/>
      <c r="G12" s="297"/>
      <c r="H12" s="297"/>
      <c r="I12" s="288"/>
      <c r="K12" s="38" t="str">
        <f t="shared" si="1"/>
        <v/>
      </c>
    </row>
    <row r="13" spans="1:11" ht="13.35" customHeight="1">
      <c r="A13" s="288"/>
      <c r="B13" s="126" t="s">
        <v>68</v>
      </c>
      <c r="C13" s="44">
        <v>7</v>
      </c>
      <c r="D13" s="111" t="str">
        <f>B14&amp;".1"</f>
        <v>.1</v>
      </c>
      <c r="E13" s="82" t="str">
        <f>_xlfn.IFNA(_xlfn.XLOOKUP($K13, Power_Patch[Combined Rack Number and Outlet],Power_Patch[Fixture Type]), "")</f>
        <v/>
      </c>
      <c r="F13" s="82" t="str">
        <f>_xlfn.IFNA(_xlfn.XLOOKUP($K13, Power_Patch[Combined Rack Number and Outlet],Power_Patch[Fixture Number]), "")</f>
        <v/>
      </c>
      <c r="G13" s="294" t="str">
        <f>_xlfn.IFNA(_xlfn.XLOOKUP($K13, Power_Patch[Combined Rack Number and Outlet],Power_Patch[Location]), "")</f>
        <v/>
      </c>
      <c r="H13" s="204" t="str">
        <f t="shared" ref="H13:H18" si="2">IFERROR(VLOOKUP(E13,ActiveFixtures,2,FALSE),"")</f>
        <v/>
      </c>
      <c r="I13" s="288"/>
      <c r="K13" s="38" t="str">
        <f t="shared" si="1"/>
        <v>10-7</v>
      </c>
    </row>
    <row r="14" spans="1:11" ht="13.35" customHeight="1">
      <c r="A14" s="288"/>
      <c r="B14" s="406" t="str">
        <f>_xlfn.IFNA(_xlfn.XLOOKUP($K13, Power_Patch[Combined Rack Number and Outlet],Power_Patch[Multi Name]), "")</f>
        <v/>
      </c>
      <c r="C14" s="10">
        <v>8</v>
      </c>
      <c r="D14" s="112" t="str">
        <f>B14&amp;".2"</f>
        <v>.2</v>
      </c>
      <c r="E14" s="82" t="str">
        <f>_xlfn.IFNA(_xlfn.XLOOKUP($K14, Power_Patch[Combined Rack Number and Outlet],Power_Patch[Fixture Type]), "")</f>
        <v/>
      </c>
      <c r="F14" s="82" t="str">
        <f>_xlfn.IFNA(_xlfn.XLOOKUP($K14, Power_Patch[Combined Rack Number and Outlet],Power_Patch[Fixture Number]), "")</f>
        <v/>
      </c>
      <c r="G14" s="295"/>
      <c r="H14" s="11" t="str">
        <f t="shared" si="2"/>
        <v/>
      </c>
      <c r="I14" s="288"/>
      <c r="K14" s="38" t="str">
        <f t="shared" si="1"/>
        <v>10-8</v>
      </c>
    </row>
    <row r="15" spans="1:11" ht="13.35" customHeight="1">
      <c r="A15" s="288"/>
      <c r="B15" s="407"/>
      <c r="C15" s="10">
        <v>9</v>
      </c>
      <c r="D15" s="111" t="str">
        <f>B14&amp;".3"</f>
        <v>.3</v>
      </c>
      <c r="E15" s="82" t="str">
        <f>_xlfn.IFNA(_xlfn.XLOOKUP($K15, Power_Patch[Combined Rack Number and Outlet],Power_Patch[Fixture Type]), "")</f>
        <v/>
      </c>
      <c r="F15" s="82" t="str">
        <f>_xlfn.IFNA(_xlfn.XLOOKUP($K15, Power_Patch[Combined Rack Number and Outlet],Power_Patch[Fixture Number]), "")</f>
        <v/>
      </c>
      <c r="G15" s="295"/>
      <c r="H15" s="12" t="str">
        <f t="shared" si="2"/>
        <v/>
      </c>
      <c r="I15" s="288"/>
      <c r="K15" s="38" t="str">
        <f t="shared" si="1"/>
        <v>10-9</v>
      </c>
    </row>
    <row r="16" spans="1:11" ht="13.35" customHeight="1">
      <c r="A16" s="288"/>
      <c r="B16" s="407"/>
      <c r="C16" s="10">
        <v>10</v>
      </c>
      <c r="D16" s="112" t="str">
        <f>B14&amp;".4"</f>
        <v>.4</v>
      </c>
      <c r="E16" s="82" t="str">
        <f>_xlfn.IFNA(_xlfn.XLOOKUP($K16, Power_Patch[Combined Rack Number and Outlet],Power_Patch[Fixture Type]), "")</f>
        <v/>
      </c>
      <c r="F16" s="82" t="str">
        <f>_xlfn.IFNA(_xlfn.XLOOKUP($K16, Power_Patch[Combined Rack Number and Outlet],Power_Patch[Fixture Number]), "")</f>
        <v/>
      </c>
      <c r="G16" s="295"/>
      <c r="H16" s="204" t="str">
        <f t="shared" si="2"/>
        <v/>
      </c>
      <c r="I16" s="288"/>
      <c r="K16" s="38" t="str">
        <f t="shared" si="1"/>
        <v>10-10</v>
      </c>
    </row>
    <row r="17" spans="1:11" ht="13.35" customHeight="1">
      <c r="A17" s="288"/>
      <c r="B17" s="407"/>
      <c r="C17" s="10">
        <v>11</v>
      </c>
      <c r="D17" s="111" t="str">
        <f>B14&amp;".5"</f>
        <v>.5</v>
      </c>
      <c r="E17" s="82" t="str">
        <f>_xlfn.IFNA(_xlfn.XLOOKUP($K17, Power_Patch[Combined Rack Number and Outlet],Power_Patch[Fixture Type]), "")</f>
        <v/>
      </c>
      <c r="F17" s="82" t="str">
        <f>_xlfn.IFNA(_xlfn.XLOOKUP($K17, Power_Patch[Combined Rack Number and Outlet],Power_Patch[Fixture Number]), "")</f>
        <v/>
      </c>
      <c r="G17" s="295"/>
      <c r="H17" s="11" t="str">
        <f t="shared" si="2"/>
        <v/>
      </c>
      <c r="I17" s="288"/>
      <c r="K17" s="38" t="str">
        <f t="shared" si="1"/>
        <v>10-11</v>
      </c>
    </row>
    <row r="18" spans="1:11" ht="13.35" customHeight="1" thickBot="1">
      <c r="A18" s="288"/>
      <c r="B18" s="408"/>
      <c r="C18" s="125">
        <v>12</v>
      </c>
      <c r="D18" s="112" t="str">
        <f>B14&amp;".6"</f>
        <v>.6</v>
      </c>
      <c r="E18" s="82" t="str">
        <f>_xlfn.IFNA(_xlfn.XLOOKUP($K18, Power_Patch[Combined Rack Number and Outlet],Power_Patch[Fixture Type]), "")</f>
        <v/>
      </c>
      <c r="F18" s="82" t="str">
        <f>_xlfn.IFNA(_xlfn.XLOOKUP($K18, Power_Patch[Combined Rack Number and Outlet],Power_Patch[Fixture Number]), "")</f>
        <v/>
      </c>
      <c r="G18" s="296"/>
      <c r="H18" s="12" t="str">
        <f t="shared" si="2"/>
        <v/>
      </c>
      <c r="I18" s="288"/>
      <c r="K18" s="38" t="str">
        <f t="shared" si="1"/>
        <v>10-12</v>
      </c>
    </row>
    <row r="19" spans="1:11" ht="9.9" customHeight="1" thickBot="1">
      <c r="A19" s="288"/>
      <c r="B19" s="297"/>
      <c r="C19" s="297"/>
      <c r="D19" s="297"/>
      <c r="E19" s="297"/>
      <c r="F19" s="297"/>
      <c r="G19" s="297"/>
      <c r="H19" s="297"/>
      <c r="I19" s="288"/>
      <c r="K19" s="38" t="str">
        <f t="shared" si="1"/>
        <v/>
      </c>
    </row>
    <row r="20" spans="1:11" ht="13.35" customHeight="1">
      <c r="A20" s="288"/>
      <c r="B20" s="126" t="s">
        <v>68</v>
      </c>
      <c r="C20" s="43">
        <v>13</v>
      </c>
      <c r="D20" s="111" t="str">
        <f>B21&amp;".1"</f>
        <v>.1</v>
      </c>
      <c r="E20" s="82" t="str">
        <f>_xlfn.IFNA(_xlfn.XLOOKUP($K20, Power_Patch[Combined Rack Number and Outlet],Power_Patch[Fixture Type]), "")</f>
        <v/>
      </c>
      <c r="F20" s="82" t="str">
        <f>_xlfn.IFNA(_xlfn.XLOOKUP($K20, Power_Patch[Combined Rack Number and Outlet],Power_Patch[Fixture Number]), "")</f>
        <v/>
      </c>
      <c r="G20" s="294" t="str">
        <f>_xlfn.IFNA(_xlfn.XLOOKUP($K20, Power_Patch[Combined Rack Number and Outlet],Power_Patch[Location]), "")</f>
        <v/>
      </c>
      <c r="H20" s="204" t="str">
        <f t="shared" ref="H20:H25" si="3">IFERROR(VLOOKUP(E20,ActiveFixtures,2,FALSE),"")</f>
        <v/>
      </c>
      <c r="I20" s="288"/>
      <c r="K20" s="38" t="str">
        <f t="shared" si="1"/>
        <v>10-13</v>
      </c>
    </row>
    <row r="21" spans="1:11" ht="13.35" customHeight="1">
      <c r="A21" s="288"/>
      <c r="B21" s="406" t="str">
        <f>_xlfn.IFNA(_xlfn.XLOOKUP($K20, Power_Patch[Combined Rack Number and Outlet],Power_Patch[Multi Name]), "")</f>
        <v/>
      </c>
      <c r="C21" s="10">
        <v>14</v>
      </c>
      <c r="D21" s="112" t="str">
        <f>B21&amp;".2"</f>
        <v>.2</v>
      </c>
      <c r="E21" s="82" t="str">
        <f>_xlfn.IFNA(_xlfn.XLOOKUP($K21, Power_Patch[Combined Rack Number and Outlet],Power_Patch[Fixture Type]), "")</f>
        <v/>
      </c>
      <c r="F21" s="82" t="str">
        <f>_xlfn.IFNA(_xlfn.XLOOKUP($K21, Power_Patch[Combined Rack Number and Outlet],Power_Patch[Fixture Number]), "")</f>
        <v/>
      </c>
      <c r="G21" s="295"/>
      <c r="H21" s="11" t="str">
        <f t="shared" si="3"/>
        <v/>
      </c>
      <c r="I21" s="288"/>
      <c r="K21" s="38" t="str">
        <f t="shared" si="1"/>
        <v>10-14</v>
      </c>
    </row>
    <row r="22" spans="1:11" ht="13.35" customHeight="1">
      <c r="A22" s="288"/>
      <c r="B22" s="407"/>
      <c r="C22" s="10">
        <v>15</v>
      </c>
      <c r="D22" s="111" t="str">
        <f>B21&amp;".3"</f>
        <v>.3</v>
      </c>
      <c r="E22" s="82" t="str">
        <f>_xlfn.IFNA(_xlfn.XLOOKUP($K22, Power_Patch[Combined Rack Number and Outlet],Power_Patch[Fixture Type]), "")</f>
        <v/>
      </c>
      <c r="F22" s="82" t="str">
        <f>_xlfn.IFNA(_xlfn.XLOOKUP($K22, Power_Patch[Combined Rack Number and Outlet],Power_Patch[Fixture Number]), "")</f>
        <v/>
      </c>
      <c r="G22" s="295"/>
      <c r="H22" s="12" t="str">
        <f t="shared" si="3"/>
        <v/>
      </c>
      <c r="I22" s="288"/>
      <c r="K22" s="38" t="str">
        <f t="shared" si="1"/>
        <v>10-15</v>
      </c>
    </row>
    <row r="23" spans="1:11" ht="13.35" customHeight="1">
      <c r="A23" s="288"/>
      <c r="B23" s="407"/>
      <c r="C23" s="10">
        <v>16</v>
      </c>
      <c r="D23" s="112" t="str">
        <f>B21&amp;".4"</f>
        <v>.4</v>
      </c>
      <c r="E23" s="82" t="str">
        <f>_xlfn.IFNA(_xlfn.XLOOKUP($K23, Power_Patch[Combined Rack Number and Outlet],Power_Patch[Fixture Type]), "")</f>
        <v/>
      </c>
      <c r="F23" s="82" t="str">
        <f>_xlfn.IFNA(_xlfn.XLOOKUP($K23, Power_Patch[Combined Rack Number and Outlet],Power_Patch[Fixture Number]), "")</f>
        <v/>
      </c>
      <c r="G23" s="295"/>
      <c r="H23" s="204" t="str">
        <f t="shared" si="3"/>
        <v/>
      </c>
      <c r="I23" s="288"/>
      <c r="K23" s="38" t="str">
        <f t="shared" si="1"/>
        <v>10-16</v>
      </c>
    </row>
    <row r="24" spans="1:11" ht="13.35" customHeight="1">
      <c r="A24" s="288"/>
      <c r="B24" s="407"/>
      <c r="C24" s="10">
        <v>17</v>
      </c>
      <c r="D24" s="111" t="str">
        <f>B21&amp;".5"</f>
        <v>.5</v>
      </c>
      <c r="E24" s="82" t="str">
        <f>_xlfn.IFNA(_xlfn.XLOOKUP($K24, Power_Patch[Combined Rack Number and Outlet],Power_Patch[Fixture Type]), "")</f>
        <v/>
      </c>
      <c r="F24" s="82" t="str">
        <f>_xlfn.IFNA(_xlfn.XLOOKUP($K24, Power_Patch[Combined Rack Number and Outlet],Power_Patch[Fixture Number]), "")</f>
        <v/>
      </c>
      <c r="G24" s="295"/>
      <c r="H24" s="11" t="str">
        <f t="shared" si="3"/>
        <v/>
      </c>
      <c r="I24" s="288"/>
      <c r="K24" s="38" t="str">
        <f t="shared" si="1"/>
        <v>10-17</v>
      </c>
    </row>
    <row r="25" spans="1:11" ht="13.35" customHeight="1" thickBot="1">
      <c r="A25" s="288"/>
      <c r="B25" s="408"/>
      <c r="C25" s="125">
        <v>18</v>
      </c>
      <c r="D25" s="112" t="str">
        <f>B21&amp;".6"</f>
        <v>.6</v>
      </c>
      <c r="E25" s="82" t="str">
        <f>_xlfn.IFNA(_xlfn.XLOOKUP($K25, Power_Patch[Combined Rack Number and Outlet],Power_Patch[Fixture Type]), "")</f>
        <v/>
      </c>
      <c r="F25" s="82" t="str">
        <f>_xlfn.IFNA(_xlfn.XLOOKUP($K25, Power_Patch[Combined Rack Number and Outlet],Power_Patch[Fixture Number]), "")</f>
        <v/>
      </c>
      <c r="G25" s="296"/>
      <c r="H25" s="12" t="str">
        <f t="shared" si="3"/>
        <v/>
      </c>
      <c r="I25" s="288"/>
      <c r="K25" s="38" t="str">
        <f t="shared" si="1"/>
        <v>10-18</v>
      </c>
    </row>
    <row r="26" spans="1:11" ht="9.9" customHeight="1" thickBot="1">
      <c r="A26" s="288"/>
      <c r="B26" s="297"/>
      <c r="C26" s="297"/>
      <c r="D26" s="297"/>
      <c r="E26" s="297"/>
      <c r="F26" s="297"/>
      <c r="G26" s="297"/>
      <c r="H26" s="297"/>
      <c r="I26" s="288"/>
      <c r="K26" s="38" t="str">
        <f t="shared" si="1"/>
        <v/>
      </c>
    </row>
    <row r="27" spans="1:11" ht="13.35" customHeight="1">
      <c r="A27" s="288"/>
      <c r="B27" s="126" t="s">
        <v>68</v>
      </c>
      <c r="C27" s="44">
        <v>19</v>
      </c>
      <c r="D27" s="111" t="str">
        <f>B28&amp;".1"</f>
        <v>.1</v>
      </c>
      <c r="E27" s="82" t="str">
        <f>_xlfn.IFNA(_xlfn.XLOOKUP($K27, Power_Patch[Combined Rack Number and Outlet],Power_Patch[Fixture Type]), "")</f>
        <v/>
      </c>
      <c r="F27" s="82" t="str">
        <f>_xlfn.IFNA(_xlfn.XLOOKUP($K27, Power_Patch[Combined Rack Number and Outlet],Power_Patch[Fixture Number]), "")</f>
        <v/>
      </c>
      <c r="G27" s="294" t="str">
        <f>_xlfn.IFNA(_xlfn.XLOOKUP($K27, Power_Patch[Combined Rack Number and Outlet],Power_Patch[Location]), "")</f>
        <v/>
      </c>
      <c r="H27" s="204" t="str">
        <f t="shared" ref="H27:H32" si="4">IFERROR(VLOOKUP(E27,ActiveFixtures,2,FALSE),"")</f>
        <v/>
      </c>
      <c r="I27" s="288"/>
      <c r="K27" s="38" t="str">
        <f t="shared" si="1"/>
        <v>10-19</v>
      </c>
    </row>
    <row r="28" spans="1:11" ht="13.35" customHeight="1">
      <c r="A28" s="288"/>
      <c r="B28" s="406" t="str">
        <f>_xlfn.IFNA(_xlfn.XLOOKUP($K27, Power_Patch[Combined Rack Number and Outlet],Power_Patch[Multi Name]), "")</f>
        <v/>
      </c>
      <c r="C28" s="10">
        <v>20</v>
      </c>
      <c r="D28" s="112" t="str">
        <f>B28&amp;".2"</f>
        <v>.2</v>
      </c>
      <c r="E28" s="82" t="str">
        <f>_xlfn.IFNA(_xlfn.XLOOKUP($K28, Power_Patch[Combined Rack Number and Outlet],Power_Patch[Fixture Type]), "")</f>
        <v/>
      </c>
      <c r="F28" s="82" t="str">
        <f>_xlfn.IFNA(_xlfn.XLOOKUP($K28, Power_Patch[Combined Rack Number and Outlet],Power_Patch[Fixture Number]), "")</f>
        <v/>
      </c>
      <c r="G28" s="295"/>
      <c r="H28" s="11" t="str">
        <f t="shared" si="4"/>
        <v/>
      </c>
      <c r="I28" s="288"/>
      <c r="K28" s="38" t="str">
        <f t="shared" si="1"/>
        <v>10-20</v>
      </c>
    </row>
    <row r="29" spans="1:11" ht="13.35" customHeight="1">
      <c r="A29" s="288"/>
      <c r="B29" s="407"/>
      <c r="C29" s="127">
        <v>21</v>
      </c>
      <c r="D29" s="111" t="str">
        <f>B28&amp;".3"</f>
        <v>.3</v>
      </c>
      <c r="E29" s="82" t="str">
        <f>_xlfn.IFNA(_xlfn.XLOOKUP($K29, Power_Patch[Combined Rack Number and Outlet],Power_Patch[Fixture Type]), "")</f>
        <v/>
      </c>
      <c r="F29" s="82" t="str">
        <f>_xlfn.IFNA(_xlfn.XLOOKUP($K29, Power_Patch[Combined Rack Number and Outlet],Power_Patch[Fixture Number]), "")</f>
        <v/>
      </c>
      <c r="G29" s="295"/>
      <c r="H29" s="12" t="str">
        <f t="shared" si="4"/>
        <v/>
      </c>
      <c r="I29" s="288"/>
      <c r="K29" s="38" t="str">
        <f t="shared" si="1"/>
        <v>10-21</v>
      </c>
    </row>
    <row r="30" spans="1:11" ht="13.35" customHeight="1">
      <c r="A30" s="288"/>
      <c r="B30" s="407"/>
      <c r="C30" s="127">
        <v>22</v>
      </c>
      <c r="D30" s="112" t="str">
        <f>B28&amp;".4"</f>
        <v>.4</v>
      </c>
      <c r="E30" s="82" t="str">
        <f>_xlfn.IFNA(_xlfn.XLOOKUP($K30, Power_Patch[Combined Rack Number and Outlet],Power_Patch[Fixture Type]), "")</f>
        <v/>
      </c>
      <c r="F30" s="82" t="str">
        <f>_xlfn.IFNA(_xlfn.XLOOKUP($K30, Power_Patch[Combined Rack Number and Outlet],Power_Patch[Fixture Number]), "")</f>
        <v/>
      </c>
      <c r="G30" s="295"/>
      <c r="H30" s="204" t="str">
        <f t="shared" si="4"/>
        <v/>
      </c>
      <c r="I30" s="288"/>
      <c r="K30" s="38" t="str">
        <f t="shared" si="1"/>
        <v>10-22</v>
      </c>
    </row>
    <row r="31" spans="1:11" ht="13.35" customHeight="1">
      <c r="A31" s="288"/>
      <c r="B31" s="407"/>
      <c r="C31" s="10">
        <v>23</v>
      </c>
      <c r="D31" s="111" t="str">
        <f>B28&amp;".5"</f>
        <v>.5</v>
      </c>
      <c r="E31" s="82" t="str">
        <f>_xlfn.IFNA(_xlfn.XLOOKUP($K31, Power_Patch[Combined Rack Number and Outlet],Power_Patch[Fixture Type]), "")</f>
        <v/>
      </c>
      <c r="F31" s="82" t="str">
        <f>_xlfn.IFNA(_xlfn.XLOOKUP($K31, Power_Patch[Combined Rack Number and Outlet],Power_Patch[Fixture Number]), "")</f>
        <v/>
      </c>
      <c r="G31" s="295"/>
      <c r="H31" s="11" t="str">
        <f t="shared" si="4"/>
        <v/>
      </c>
      <c r="I31" s="288"/>
      <c r="K31" s="38" t="str">
        <f t="shared" si="1"/>
        <v>10-23</v>
      </c>
    </row>
    <row r="32" spans="1:11" ht="13.35" customHeight="1" thickBot="1">
      <c r="A32" s="288"/>
      <c r="B32" s="408"/>
      <c r="C32" s="125">
        <v>24</v>
      </c>
      <c r="D32" s="112" t="str">
        <f>B28&amp;".6"</f>
        <v>.6</v>
      </c>
      <c r="E32" s="82" t="str">
        <f>_xlfn.IFNA(_xlfn.XLOOKUP($K32, Power_Patch[Combined Rack Number and Outlet],Power_Patch[Fixture Type]), "")</f>
        <v/>
      </c>
      <c r="F32" s="82" t="str">
        <f>_xlfn.IFNA(_xlfn.XLOOKUP($K32, Power_Patch[Combined Rack Number and Outlet],Power_Patch[Fixture Number]), "")</f>
        <v/>
      </c>
      <c r="G32" s="296"/>
      <c r="H32" s="12" t="str">
        <f t="shared" si="4"/>
        <v/>
      </c>
      <c r="I32" s="288"/>
      <c r="K32" s="38" t="str">
        <f t="shared" si="1"/>
        <v>10-24</v>
      </c>
    </row>
    <row r="33" spans="1:11" ht="9.9" customHeight="1" thickBot="1">
      <c r="A33" s="288"/>
      <c r="B33" s="297"/>
      <c r="C33" s="297"/>
      <c r="D33" s="297"/>
      <c r="E33" s="297"/>
      <c r="F33" s="297"/>
      <c r="G33" s="297"/>
      <c r="H33" s="297"/>
      <c r="I33" s="288"/>
      <c r="K33" s="38" t="str">
        <f t="shared" si="1"/>
        <v/>
      </c>
    </row>
    <row r="34" spans="1:11" ht="13.35" customHeight="1">
      <c r="A34" s="288"/>
      <c r="B34" s="126" t="s">
        <v>68</v>
      </c>
      <c r="C34" s="45">
        <v>25</v>
      </c>
      <c r="D34" s="111" t="str">
        <f>B35&amp;".1"</f>
        <v>.1</v>
      </c>
      <c r="E34" s="82" t="str">
        <f>_xlfn.IFNA(_xlfn.XLOOKUP($K34, Power_Patch[Combined Rack Number and Outlet],Power_Patch[Fixture Type]), "")</f>
        <v/>
      </c>
      <c r="F34" s="82" t="str">
        <f>_xlfn.IFNA(_xlfn.XLOOKUP($K34, Power_Patch[Combined Rack Number and Outlet],Power_Patch[Fixture Number]), "")</f>
        <v/>
      </c>
      <c r="G34" s="294" t="str">
        <f>_xlfn.IFNA(_xlfn.XLOOKUP($K34, Power_Patch[Combined Rack Number and Outlet],Power_Patch[Location]), "")</f>
        <v/>
      </c>
      <c r="H34" s="204" t="str">
        <f t="shared" ref="H34:H39" si="5">IFERROR(VLOOKUP(E34,ActiveFixtures,2,FALSE),"")</f>
        <v/>
      </c>
      <c r="I34" s="288"/>
      <c r="K34" s="38" t="str">
        <f t="shared" si="1"/>
        <v>10-25</v>
      </c>
    </row>
    <row r="35" spans="1:11" ht="13.35" customHeight="1">
      <c r="A35" s="288"/>
      <c r="B35" s="406" t="str">
        <f>_xlfn.IFNA(_xlfn.XLOOKUP($K34, Power_Patch[Combined Rack Number and Outlet],Power_Patch[Multi Name]), "")</f>
        <v/>
      </c>
      <c r="C35" s="37">
        <v>26</v>
      </c>
      <c r="D35" s="112" t="str">
        <f>B35&amp;".2"</f>
        <v>.2</v>
      </c>
      <c r="E35" s="82" t="str">
        <f>_xlfn.IFNA(_xlfn.XLOOKUP($K35, Power_Patch[Combined Rack Number and Outlet],Power_Patch[Fixture Type]), "")</f>
        <v/>
      </c>
      <c r="F35" s="82" t="str">
        <f>_xlfn.IFNA(_xlfn.XLOOKUP($K35, Power_Patch[Combined Rack Number and Outlet],Power_Patch[Fixture Number]), "")</f>
        <v/>
      </c>
      <c r="G35" s="295"/>
      <c r="H35" s="11" t="str">
        <f t="shared" si="5"/>
        <v/>
      </c>
      <c r="I35" s="288"/>
      <c r="K35" s="38" t="str">
        <f t="shared" si="1"/>
        <v>10-26</v>
      </c>
    </row>
    <row r="36" spans="1:11" ht="13.35" customHeight="1">
      <c r="A36" s="288"/>
      <c r="B36" s="407"/>
      <c r="C36" s="37">
        <v>27</v>
      </c>
      <c r="D36" s="111" t="str">
        <f>B35&amp;".3"</f>
        <v>.3</v>
      </c>
      <c r="E36" s="82" t="str">
        <f>_xlfn.IFNA(_xlfn.XLOOKUP($K36, Power_Patch[Combined Rack Number and Outlet],Power_Patch[Fixture Type]), "")</f>
        <v/>
      </c>
      <c r="F36" s="82" t="str">
        <f>_xlfn.IFNA(_xlfn.XLOOKUP($K36, Power_Patch[Combined Rack Number and Outlet],Power_Patch[Fixture Number]), "")</f>
        <v/>
      </c>
      <c r="G36" s="295"/>
      <c r="H36" s="12" t="str">
        <f t="shared" si="5"/>
        <v/>
      </c>
      <c r="I36" s="288"/>
      <c r="K36" s="38" t="str">
        <f t="shared" si="1"/>
        <v>10-27</v>
      </c>
    </row>
    <row r="37" spans="1:11" ht="13.35" customHeight="1">
      <c r="A37" s="288"/>
      <c r="B37" s="407"/>
      <c r="C37" s="37">
        <v>28</v>
      </c>
      <c r="D37" s="112" t="str">
        <f>B35&amp;".4"</f>
        <v>.4</v>
      </c>
      <c r="E37" s="82" t="str">
        <f>_xlfn.IFNA(_xlfn.XLOOKUP($K37, Power_Patch[Combined Rack Number and Outlet],Power_Patch[Fixture Type]), "")</f>
        <v/>
      </c>
      <c r="F37" s="82" t="str">
        <f>_xlfn.IFNA(_xlfn.XLOOKUP($K37, Power_Patch[Combined Rack Number and Outlet],Power_Patch[Fixture Number]), "")</f>
        <v/>
      </c>
      <c r="G37" s="295"/>
      <c r="H37" s="204" t="str">
        <f t="shared" si="5"/>
        <v/>
      </c>
      <c r="I37" s="288"/>
      <c r="K37" s="38" t="str">
        <f t="shared" si="1"/>
        <v>10-28</v>
      </c>
    </row>
    <row r="38" spans="1:11" ht="13.35" customHeight="1">
      <c r="A38" s="288"/>
      <c r="B38" s="407"/>
      <c r="C38" s="37">
        <v>29</v>
      </c>
      <c r="D38" s="111" t="str">
        <f>B35&amp;".5"</f>
        <v>.5</v>
      </c>
      <c r="E38" s="82" t="str">
        <f>_xlfn.IFNA(_xlfn.XLOOKUP($K38, Power_Patch[Combined Rack Number and Outlet],Power_Patch[Fixture Type]), "")</f>
        <v/>
      </c>
      <c r="F38" s="82" t="str">
        <f>_xlfn.IFNA(_xlfn.XLOOKUP($K38, Power_Patch[Combined Rack Number and Outlet],Power_Patch[Fixture Number]), "")</f>
        <v/>
      </c>
      <c r="G38" s="295"/>
      <c r="H38" s="11" t="str">
        <f t="shared" si="5"/>
        <v/>
      </c>
      <c r="I38" s="288"/>
      <c r="K38" s="38" t="str">
        <f t="shared" si="1"/>
        <v>10-29</v>
      </c>
    </row>
    <row r="39" spans="1:11" ht="13.35" customHeight="1" thickBot="1">
      <c r="A39" s="288"/>
      <c r="B39" s="408"/>
      <c r="C39" s="128">
        <v>30</v>
      </c>
      <c r="D39" s="112" t="str">
        <f>B35&amp;".6"</f>
        <v>.6</v>
      </c>
      <c r="E39" s="82" t="str">
        <f>_xlfn.IFNA(_xlfn.XLOOKUP($K39, Power_Patch[Combined Rack Number and Outlet],Power_Patch[Fixture Type]), "")</f>
        <v/>
      </c>
      <c r="F39" s="82" t="str">
        <f>_xlfn.IFNA(_xlfn.XLOOKUP($K39, Power_Patch[Combined Rack Number and Outlet],Power_Patch[Fixture Number]), "")</f>
        <v/>
      </c>
      <c r="G39" s="296"/>
      <c r="H39" s="12" t="str">
        <f t="shared" si="5"/>
        <v/>
      </c>
      <c r="I39" s="288"/>
      <c r="K39" s="38" t="str">
        <f t="shared" si="1"/>
        <v>10-30</v>
      </c>
    </row>
    <row r="40" spans="1:11" ht="9.9" customHeight="1" thickBot="1">
      <c r="A40" s="288"/>
      <c r="B40" s="297"/>
      <c r="C40" s="297"/>
      <c r="D40" s="297"/>
      <c r="E40" s="297"/>
      <c r="F40" s="297"/>
      <c r="G40" s="297"/>
      <c r="H40" s="297"/>
      <c r="I40" s="288"/>
      <c r="K40" s="38" t="str">
        <f t="shared" si="1"/>
        <v/>
      </c>
    </row>
    <row r="41" spans="1:11" ht="13.35" customHeight="1">
      <c r="A41" s="288"/>
      <c r="B41" s="126" t="s">
        <v>68</v>
      </c>
      <c r="C41" s="44">
        <v>31</v>
      </c>
      <c r="D41" s="111" t="str">
        <f>B42&amp;".1"</f>
        <v>.1</v>
      </c>
      <c r="E41" s="82" t="str">
        <f>_xlfn.IFNA(_xlfn.XLOOKUP($K41, Power_Patch[Combined Rack Number and Outlet],Power_Patch[Fixture Type]), "")</f>
        <v/>
      </c>
      <c r="F41" s="82" t="str">
        <f>_xlfn.IFNA(_xlfn.XLOOKUP($K41, Power_Patch[Combined Rack Number and Outlet],Power_Patch[Fixture Number]), "")</f>
        <v/>
      </c>
      <c r="G41" s="294" t="str">
        <f>_xlfn.IFNA(_xlfn.XLOOKUP($K41, Power_Patch[Combined Rack Number and Outlet],Power_Patch[Location]), "")</f>
        <v/>
      </c>
      <c r="H41" s="204" t="str">
        <f t="shared" ref="H41:H46" si="6">IFERROR(VLOOKUP(E41,ActiveFixtures,2,FALSE),"")</f>
        <v/>
      </c>
      <c r="I41" s="288"/>
      <c r="K41" s="38" t="str">
        <f t="shared" si="1"/>
        <v>10-31</v>
      </c>
    </row>
    <row r="42" spans="1:11" ht="13.35" customHeight="1">
      <c r="A42" s="288"/>
      <c r="B42" s="406" t="str">
        <f>_xlfn.IFNA(_xlfn.XLOOKUP($K41, Power_Patch[Combined Rack Number and Outlet],Power_Patch[Multi Name]), "")</f>
        <v/>
      </c>
      <c r="C42" s="10">
        <v>32</v>
      </c>
      <c r="D42" s="112" t="str">
        <f>B42&amp;".2"</f>
        <v>.2</v>
      </c>
      <c r="E42" s="82" t="str">
        <f>_xlfn.IFNA(_xlfn.XLOOKUP($K42, Power_Patch[Combined Rack Number and Outlet],Power_Patch[Fixture Type]), "")</f>
        <v/>
      </c>
      <c r="F42" s="82" t="str">
        <f>_xlfn.IFNA(_xlfn.XLOOKUP($K42, Power_Patch[Combined Rack Number and Outlet],Power_Patch[Fixture Number]), "")</f>
        <v/>
      </c>
      <c r="G42" s="295"/>
      <c r="H42" s="11" t="str">
        <f t="shared" si="6"/>
        <v/>
      </c>
      <c r="I42" s="288"/>
      <c r="K42" s="38" t="str">
        <f t="shared" si="1"/>
        <v>10-32</v>
      </c>
    </row>
    <row r="43" spans="1:11" ht="13.35" customHeight="1">
      <c r="A43" s="288"/>
      <c r="B43" s="407"/>
      <c r="C43" s="10">
        <v>33</v>
      </c>
      <c r="D43" s="111" t="str">
        <f>B42&amp;".3"</f>
        <v>.3</v>
      </c>
      <c r="E43" s="82" t="str">
        <f>_xlfn.IFNA(_xlfn.XLOOKUP($K43, Power_Patch[Combined Rack Number and Outlet],Power_Patch[Fixture Type]), "")</f>
        <v/>
      </c>
      <c r="F43" s="82" t="str">
        <f>_xlfn.IFNA(_xlfn.XLOOKUP($K43, Power_Patch[Combined Rack Number and Outlet],Power_Patch[Fixture Number]), "")</f>
        <v/>
      </c>
      <c r="G43" s="295"/>
      <c r="H43" s="12" t="str">
        <f t="shared" si="6"/>
        <v/>
      </c>
      <c r="I43" s="288"/>
      <c r="K43" s="38" t="str">
        <f t="shared" si="1"/>
        <v>10-33</v>
      </c>
    </row>
    <row r="44" spans="1:11" ht="13.35" customHeight="1">
      <c r="A44" s="288"/>
      <c r="B44" s="407"/>
      <c r="C44" s="10">
        <v>34</v>
      </c>
      <c r="D44" s="112" t="str">
        <f>B42&amp;".4"</f>
        <v>.4</v>
      </c>
      <c r="E44" s="82" t="str">
        <f>_xlfn.IFNA(_xlfn.XLOOKUP($K44, Power_Patch[Combined Rack Number and Outlet],Power_Patch[Fixture Type]), "")</f>
        <v/>
      </c>
      <c r="F44" s="82" t="str">
        <f>_xlfn.IFNA(_xlfn.XLOOKUP($K44, Power_Patch[Combined Rack Number and Outlet],Power_Patch[Fixture Number]), "")</f>
        <v/>
      </c>
      <c r="G44" s="295"/>
      <c r="H44" s="204" t="str">
        <f t="shared" si="6"/>
        <v/>
      </c>
      <c r="I44" s="288"/>
      <c r="K44" s="38" t="str">
        <f t="shared" si="1"/>
        <v>10-34</v>
      </c>
    </row>
    <row r="45" spans="1:11" ht="13.35" customHeight="1">
      <c r="A45" s="288"/>
      <c r="B45" s="407"/>
      <c r="C45" s="10">
        <v>35</v>
      </c>
      <c r="D45" s="111" t="str">
        <f>B42&amp;".5"</f>
        <v>.5</v>
      </c>
      <c r="E45" s="82" t="str">
        <f>_xlfn.IFNA(_xlfn.XLOOKUP($K45, Power_Patch[Combined Rack Number and Outlet],Power_Patch[Fixture Type]), "")</f>
        <v/>
      </c>
      <c r="F45" s="82" t="str">
        <f>_xlfn.IFNA(_xlfn.XLOOKUP($K45, Power_Patch[Combined Rack Number and Outlet],Power_Patch[Fixture Number]), "")</f>
        <v/>
      </c>
      <c r="G45" s="295"/>
      <c r="H45" s="11" t="str">
        <f t="shared" si="6"/>
        <v/>
      </c>
      <c r="I45" s="288"/>
      <c r="K45" s="38" t="str">
        <f t="shared" si="1"/>
        <v>10-35</v>
      </c>
    </row>
    <row r="46" spans="1:11" ht="13.35" customHeight="1" thickBot="1">
      <c r="A46" s="288"/>
      <c r="B46" s="408"/>
      <c r="C46" s="125">
        <v>36</v>
      </c>
      <c r="D46" s="112" t="str">
        <f>B42&amp;".6"</f>
        <v>.6</v>
      </c>
      <c r="E46" s="82" t="str">
        <f>_xlfn.IFNA(_xlfn.XLOOKUP($K46, Power_Patch[Combined Rack Number and Outlet],Power_Patch[Fixture Type]), "")</f>
        <v/>
      </c>
      <c r="F46" s="82" t="str">
        <f>_xlfn.IFNA(_xlfn.XLOOKUP($K46, Power_Patch[Combined Rack Number and Outlet],Power_Patch[Fixture Number]), "")</f>
        <v/>
      </c>
      <c r="G46" s="296"/>
      <c r="H46" s="12" t="str">
        <f t="shared" si="6"/>
        <v/>
      </c>
      <c r="I46" s="288"/>
      <c r="K46" s="38" t="str">
        <f t="shared" si="1"/>
        <v>10-36</v>
      </c>
    </row>
    <row r="47" spans="1:11" ht="9.9" customHeight="1" thickBot="1">
      <c r="A47" s="288"/>
      <c r="B47" s="297"/>
      <c r="C47" s="297"/>
      <c r="D47" s="297"/>
      <c r="E47" s="297"/>
      <c r="F47" s="297"/>
      <c r="G47" s="297"/>
      <c r="H47" s="297"/>
      <c r="I47" s="288"/>
      <c r="K47" s="38" t="str">
        <f t="shared" si="1"/>
        <v/>
      </c>
    </row>
    <row r="48" spans="1:11" ht="13.35" customHeight="1">
      <c r="A48" s="288"/>
      <c r="B48" s="126" t="s">
        <v>68</v>
      </c>
      <c r="C48" s="44">
        <v>37</v>
      </c>
      <c r="D48" s="111" t="str">
        <f>B49&amp;".1"</f>
        <v>.1</v>
      </c>
      <c r="E48" s="82" t="str">
        <f>_xlfn.IFNA(_xlfn.XLOOKUP($K48, Power_Patch[Combined Rack Number and Outlet],Power_Patch[Fixture Type]), "")</f>
        <v/>
      </c>
      <c r="F48" s="82" t="str">
        <f>_xlfn.IFNA(_xlfn.XLOOKUP($K48, Power_Patch[Combined Rack Number and Outlet],Power_Patch[Fixture Number]), "")</f>
        <v/>
      </c>
      <c r="G48" s="294" t="str">
        <f>_xlfn.IFNA(_xlfn.XLOOKUP($K48, Power_Patch[Combined Rack Number and Outlet],Power_Patch[Location]), "")</f>
        <v/>
      </c>
      <c r="H48" s="204" t="str">
        <f t="shared" ref="H48:H53" si="7">IFERROR(VLOOKUP(E48,ActiveFixtures,2,FALSE),"")</f>
        <v/>
      </c>
      <c r="I48" s="288"/>
      <c r="K48" s="38" t="str">
        <f t="shared" si="1"/>
        <v>10-37</v>
      </c>
    </row>
    <row r="49" spans="1:11" ht="13.35" customHeight="1">
      <c r="A49" s="288"/>
      <c r="B49" s="406" t="str">
        <f>_xlfn.IFNA(_xlfn.XLOOKUP($K48, Power_Patch[Combined Rack Number and Outlet],Power_Patch[Multi Name]), "")</f>
        <v/>
      </c>
      <c r="C49" s="10">
        <v>38</v>
      </c>
      <c r="D49" s="112" t="str">
        <f>B49&amp;".2"</f>
        <v>.2</v>
      </c>
      <c r="E49" s="82" t="str">
        <f>_xlfn.IFNA(_xlfn.XLOOKUP($K49, Power_Patch[Combined Rack Number and Outlet],Power_Patch[Fixture Type]), "")</f>
        <v/>
      </c>
      <c r="F49" s="82" t="str">
        <f>_xlfn.IFNA(_xlfn.XLOOKUP($K49, Power_Patch[Combined Rack Number and Outlet],Power_Patch[Fixture Number]), "")</f>
        <v/>
      </c>
      <c r="G49" s="295"/>
      <c r="H49" s="11" t="str">
        <f t="shared" si="7"/>
        <v/>
      </c>
      <c r="I49" s="288"/>
      <c r="K49" s="38" t="str">
        <f t="shared" si="1"/>
        <v>10-38</v>
      </c>
    </row>
    <row r="50" spans="1:11" ht="13.35" customHeight="1">
      <c r="A50" s="288"/>
      <c r="B50" s="407"/>
      <c r="C50" s="10">
        <v>39</v>
      </c>
      <c r="D50" s="111" t="str">
        <f>B49&amp;".3"</f>
        <v>.3</v>
      </c>
      <c r="E50" s="82" t="str">
        <f>_xlfn.IFNA(_xlfn.XLOOKUP($K50, Power_Patch[Combined Rack Number and Outlet],Power_Patch[Fixture Type]), "")</f>
        <v/>
      </c>
      <c r="F50" s="82" t="str">
        <f>_xlfn.IFNA(_xlfn.XLOOKUP($K50, Power_Patch[Combined Rack Number and Outlet],Power_Patch[Fixture Number]), "")</f>
        <v/>
      </c>
      <c r="G50" s="295"/>
      <c r="H50" s="12" t="str">
        <f t="shared" si="7"/>
        <v/>
      </c>
      <c r="I50" s="288"/>
      <c r="K50" s="38" t="str">
        <f t="shared" si="1"/>
        <v>10-39</v>
      </c>
    </row>
    <row r="51" spans="1:11" ht="13.35" customHeight="1">
      <c r="A51" s="288"/>
      <c r="B51" s="407"/>
      <c r="C51" s="10">
        <v>40</v>
      </c>
      <c r="D51" s="112" t="str">
        <f>B49&amp;".4"</f>
        <v>.4</v>
      </c>
      <c r="E51" s="82" t="str">
        <f>_xlfn.IFNA(_xlfn.XLOOKUP($K51, Power_Patch[Combined Rack Number and Outlet],Power_Patch[Fixture Type]), "")</f>
        <v/>
      </c>
      <c r="F51" s="82" t="str">
        <f>_xlfn.IFNA(_xlfn.XLOOKUP($K51, Power_Patch[Combined Rack Number and Outlet],Power_Patch[Fixture Number]), "")</f>
        <v/>
      </c>
      <c r="G51" s="295"/>
      <c r="H51" s="204" t="str">
        <f t="shared" si="7"/>
        <v/>
      </c>
      <c r="I51" s="288"/>
      <c r="K51" s="38" t="str">
        <f t="shared" si="1"/>
        <v>10-40</v>
      </c>
    </row>
    <row r="52" spans="1:11" ht="13.35" customHeight="1">
      <c r="A52" s="288"/>
      <c r="B52" s="407"/>
      <c r="C52" s="10">
        <v>41</v>
      </c>
      <c r="D52" s="111" t="str">
        <f>B49&amp;".5"</f>
        <v>.5</v>
      </c>
      <c r="E52" s="82" t="str">
        <f>_xlfn.IFNA(_xlfn.XLOOKUP($K52, Power_Patch[Combined Rack Number and Outlet],Power_Patch[Fixture Type]), "")</f>
        <v/>
      </c>
      <c r="F52" s="82" t="str">
        <f>_xlfn.IFNA(_xlfn.XLOOKUP($K52, Power_Patch[Combined Rack Number and Outlet],Power_Patch[Fixture Number]), "")</f>
        <v/>
      </c>
      <c r="G52" s="295"/>
      <c r="H52" s="11" t="str">
        <f t="shared" si="7"/>
        <v/>
      </c>
      <c r="I52" s="288"/>
      <c r="K52" s="38" t="str">
        <f t="shared" si="1"/>
        <v>10-41</v>
      </c>
    </row>
    <row r="53" spans="1:11" ht="13.35" customHeight="1" thickBot="1">
      <c r="A53" s="288"/>
      <c r="B53" s="408"/>
      <c r="C53" s="125">
        <v>42</v>
      </c>
      <c r="D53" s="112" t="str">
        <f>B49&amp;".6"</f>
        <v>.6</v>
      </c>
      <c r="E53" s="82" t="str">
        <f>_xlfn.IFNA(_xlfn.XLOOKUP($K53, Power_Patch[Combined Rack Number and Outlet],Power_Patch[Fixture Type]), "")</f>
        <v/>
      </c>
      <c r="F53" s="82" t="str">
        <f>_xlfn.IFNA(_xlfn.XLOOKUP($K53, Power_Patch[Combined Rack Number and Outlet],Power_Patch[Fixture Number]), "")</f>
        <v/>
      </c>
      <c r="G53" s="296"/>
      <c r="H53" s="12" t="str">
        <f t="shared" si="7"/>
        <v/>
      </c>
      <c r="I53" s="288"/>
      <c r="K53" s="38" t="str">
        <f t="shared" si="1"/>
        <v>10-42</v>
      </c>
    </row>
    <row r="54" spans="1:11" ht="9.9" customHeight="1" thickBot="1">
      <c r="A54" s="288"/>
      <c r="B54" s="297"/>
      <c r="C54" s="297"/>
      <c r="D54" s="297"/>
      <c r="E54" s="297"/>
      <c r="F54" s="297"/>
      <c r="G54" s="297"/>
      <c r="H54" s="297"/>
      <c r="I54" s="288"/>
      <c r="K54" s="38" t="str">
        <f t="shared" si="1"/>
        <v/>
      </c>
    </row>
    <row r="55" spans="1:11" ht="13.35" customHeight="1">
      <c r="A55" s="288"/>
      <c r="B55" s="126" t="s">
        <v>68</v>
      </c>
      <c r="C55" s="44">
        <v>43</v>
      </c>
      <c r="D55" s="111" t="str">
        <f>B56&amp;".1"</f>
        <v>.1</v>
      </c>
      <c r="E55" s="82" t="str">
        <f>_xlfn.IFNA(_xlfn.XLOOKUP($K55, Power_Patch[Combined Rack Number and Outlet],Power_Patch[Fixture Type]), "")</f>
        <v/>
      </c>
      <c r="F55" s="82" t="str">
        <f>_xlfn.IFNA(_xlfn.XLOOKUP($K55, Power_Patch[Combined Rack Number and Outlet],Power_Patch[Fixture Number]), "")</f>
        <v/>
      </c>
      <c r="G55" s="294" t="str">
        <f>_xlfn.IFNA(_xlfn.XLOOKUP($K55, Power_Patch[Combined Rack Number and Outlet],Power_Patch[Location]), "")</f>
        <v/>
      </c>
      <c r="H55" s="204" t="str">
        <f t="shared" ref="H55:H60" si="8">IFERROR(VLOOKUP(E55,ActiveFixtures,2,FALSE),"")</f>
        <v/>
      </c>
      <c r="I55" s="288"/>
      <c r="K55" s="38" t="str">
        <f t="shared" si="1"/>
        <v>10-43</v>
      </c>
    </row>
    <row r="56" spans="1:11" ht="13.35" customHeight="1">
      <c r="A56" s="288"/>
      <c r="B56" s="406" t="str">
        <f>_xlfn.IFNA(_xlfn.XLOOKUP($K55, Power_Patch[Combined Rack Number and Outlet],Power_Patch[Multi Name]), "")</f>
        <v/>
      </c>
      <c r="C56" s="10">
        <v>44</v>
      </c>
      <c r="D56" s="112" t="str">
        <f>B56&amp;".2"</f>
        <v>.2</v>
      </c>
      <c r="E56" s="82" t="str">
        <f>_xlfn.IFNA(_xlfn.XLOOKUP($K56, Power_Patch[Combined Rack Number and Outlet],Power_Patch[Fixture Type]), "")</f>
        <v/>
      </c>
      <c r="F56" s="82" t="str">
        <f>_xlfn.IFNA(_xlfn.XLOOKUP($K56, Power_Patch[Combined Rack Number and Outlet],Power_Patch[Fixture Number]), "")</f>
        <v/>
      </c>
      <c r="G56" s="295"/>
      <c r="H56" s="11" t="str">
        <f t="shared" si="8"/>
        <v/>
      </c>
      <c r="I56" s="288"/>
      <c r="K56" s="38" t="str">
        <f t="shared" si="1"/>
        <v>10-44</v>
      </c>
    </row>
    <row r="57" spans="1:11" ht="13.35" customHeight="1">
      <c r="A57" s="288"/>
      <c r="B57" s="407"/>
      <c r="C57" s="10">
        <v>45</v>
      </c>
      <c r="D57" s="111" t="str">
        <f>B56&amp;".3"</f>
        <v>.3</v>
      </c>
      <c r="E57" s="82" t="str">
        <f>_xlfn.IFNA(_xlfn.XLOOKUP($K57, Power_Patch[Combined Rack Number and Outlet],Power_Patch[Fixture Type]), "")</f>
        <v/>
      </c>
      <c r="F57" s="82" t="str">
        <f>_xlfn.IFNA(_xlfn.XLOOKUP($K57, Power_Patch[Combined Rack Number and Outlet],Power_Patch[Fixture Number]), "")</f>
        <v/>
      </c>
      <c r="G57" s="295"/>
      <c r="H57" s="12" t="str">
        <f t="shared" si="8"/>
        <v/>
      </c>
      <c r="I57" s="288"/>
      <c r="K57" s="38" t="str">
        <f t="shared" si="1"/>
        <v>10-45</v>
      </c>
    </row>
    <row r="58" spans="1:11" ht="13.35" customHeight="1">
      <c r="A58" s="288"/>
      <c r="B58" s="407"/>
      <c r="C58" s="10">
        <v>46</v>
      </c>
      <c r="D58" s="112" t="str">
        <f>B56&amp;".4"</f>
        <v>.4</v>
      </c>
      <c r="E58" s="82" t="str">
        <f>_xlfn.IFNA(_xlfn.XLOOKUP($K58, Power_Patch[Combined Rack Number and Outlet],Power_Patch[Fixture Type]), "")</f>
        <v/>
      </c>
      <c r="F58" s="82" t="str">
        <f>_xlfn.IFNA(_xlfn.XLOOKUP($K58, Power_Patch[Combined Rack Number and Outlet],Power_Patch[Fixture Number]), "")</f>
        <v/>
      </c>
      <c r="G58" s="295"/>
      <c r="H58" s="204" t="str">
        <f t="shared" si="8"/>
        <v/>
      </c>
      <c r="I58" s="288"/>
      <c r="K58" s="38" t="str">
        <f t="shared" si="1"/>
        <v>10-46</v>
      </c>
    </row>
    <row r="59" spans="1:11" ht="13.35" customHeight="1">
      <c r="A59" s="288"/>
      <c r="B59" s="407"/>
      <c r="C59" s="10">
        <v>47</v>
      </c>
      <c r="D59" s="111" t="str">
        <f>B56&amp;".5"</f>
        <v>.5</v>
      </c>
      <c r="E59" s="82" t="str">
        <f>_xlfn.IFNA(_xlfn.XLOOKUP($K59, Power_Patch[Combined Rack Number and Outlet],Power_Patch[Fixture Type]), "")</f>
        <v/>
      </c>
      <c r="F59" s="82" t="str">
        <f>_xlfn.IFNA(_xlfn.XLOOKUP($K59, Power_Patch[Combined Rack Number and Outlet],Power_Patch[Fixture Number]), "")</f>
        <v/>
      </c>
      <c r="G59" s="295"/>
      <c r="H59" s="11" t="str">
        <f t="shared" si="8"/>
        <v/>
      </c>
      <c r="I59" s="288"/>
      <c r="K59" s="38" t="str">
        <f t="shared" si="1"/>
        <v>10-47</v>
      </c>
    </row>
    <row r="60" spans="1:11" ht="13.35" customHeight="1" thickBot="1">
      <c r="A60" s="288"/>
      <c r="B60" s="408"/>
      <c r="C60" s="125">
        <v>48</v>
      </c>
      <c r="D60" s="113" t="str">
        <f>B56&amp;".6"</f>
        <v>.6</v>
      </c>
      <c r="E60" s="82" t="str">
        <f>_xlfn.IFNA(_xlfn.XLOOKUP($K60, Power_Patch[Combined Rack Number and Outlet],Power_Patch[Fixture Type]), "")</f>
        <v/>
      </c>
      <c r="F60" s="82" t="str">
        <f>_xlfn.IFNA(_xlfn.XLOOKUP($K60, Power_Patch[Combined Rack Number and Outlet],Power_Patch[Fixture Number]), "")</f>
        <v/>
      </c>
      <c r="G60" s="296"/>
      <c r="H60" s="36" t="str">
        <f t="shared" si="8"/>
        <v/>
      </c>
      <c r="I60" s="288"/>
      <c r="K60" s="38" t="str">
        <f t="shared" si="1"/>
        <v>10-48</v>
      </c>
    </row>
    <row r="61" spans="1:11" ht="12.9" customHeight="1">
      <c r="A61" s="288"/>
      <c r="B61" s="286"/>
      <c r="C61" s="286"/>
      <c r="D61" s="286"/>
      <c r="E61" s="287"/>
      <c r="F61" s="305" t="s">
        <v>7</v>
      </c>
      <c r="G61" s="306"/>
      <c r="H61" s="39">
        <f>SUM(H6,H9,H13,H16,H20,H23,H27,H30,H34,H37,H41,H44,H48,H51,H55,H58,H69,H72,H76,H79,H83,H86,H90,H93,H97,H100,H104,H107,H111,H114,H118,H121)</f>
        <v>0</v>
      </c>
      <c r="I61" s="288"/>
      <c r="K61" s="38" t="str">
        <f t="shared" si="1"/>
        <v/>
      </c>
    </row>
    <row r="62" spans="1:11" ht="12.9" customHeight="1" thickBot="1">
      <c r="A62" s="288"/>
      <c r="B62" s="288"/>
      <c r="C62" s="288"/>
      <c r="D62" s="288"/>
      <c r="E62" s="289"/>
      <c r="F62" s="307" t="s">
        <v>8</v>
      </c>
      <c r="G62" s="308"/>
      <c r="H62" s="40">
        <f>SUM(H7,H10,H14,H17,H21,H24,H28,H31,H35,H38,H42,H45,H49,H52,H56,H59,H70,H73,H77,H80,H84,H87,H91,H94,H98,H101,H105,H108,H112,H115,H119,H122)</f>
        <v>0</v>
      </c>
      <c r="I62" s="288"/>
      <c r="K62" s="38" t="str">
        <f t="shared" si="1"/>
        <v/>
      </c>
    </row>
    <row r="63" spans="1:11" ht="12.9" customHeight="1" thickBot="1">
      <c r="A63" s="288"/>
      <c r="B63" s="288"/>
      <c r="C63" s="288"/>
      <c r="D63" s="288"/>
      <c r="E63" s="289"/>
      <c r="F63" s="292" t="s">
        <v>9</v>
      </c>
      <c r="G63" s="293"/>
      <c r="H63" s="41">
        <f>SUM(H8,H11,H15,H18,H22,H25,H29,H32,H36,H39,H43,H46,H50,H53,H57,H60,H71,H74,H78,H81,H85,H88,H92,H95,H99,H102,H106,H109,H113,H116,H120,H123)</f>
        <v>0</v>
      </c>
      <c r="I63" s="288"/>
      <c r="K63" s="38" t="str">
        <f t="shared" si="1"/>
        <v/>
      </c>
    </row>
    <row r="64" spans="1:11" ht="3.9" customHeight="1" thickBot="1">
      <c r="A64" s="288"/>
      <c r="C64" s="42"/>
      <c r="D64" s="42"/>
      <c r="E64" s="42"/>
      <c r="F64" s="116"/>
      <c r="G64" s="116"/>
      <c r="H64" s="47"/>
      <c r="I64" s="288"/>
      <c r="K64" s="38" t="str">
        <f t="shared" si="1"/>
        <v/>
      </c>
    </row>
    <row r="65" spans="1:11" ht="17.100000000000001" customHeight="1" thickBot="1">
      <c r="A65" s="288"/>
      <c r="B65" s="298" t="s">
        <v>0</v>
      </c>
      <c r="C65" s="299"/>
      <c r="D65" s="300" t="str">
        <f>Fixtures!C2</f>
        <v>Untitled Show</v>
      </c>
      <c r="E65" s="301"/>
      <c r="F65" s="302"/>
      <c r="G65" s="303"/>
      <c r="H65" s="303"/>
      <c r="I65" s="288"/>
      <c r="K65" s="38" t="str">
        <f t="shared" si="1"/>
        <v/>
      </c>
    </row>
    <row r="66" spans="1:11" ht="17.100000000000001" customHeight="1" thickBot="1">
      <c r="A66" s="288"/>
      <c r="B66" s="298" t="s">
        <v>70</v>
      </c>
      <c r="C66" s="299"/>
      <c r="D66" s="300">
        <f>D3</f>
        <v>10</v>
      </c>
      <c r="E66" s="301"/>
      <c r="F66" s="302"/>
      <c r="G66" s="303"/>
      <c r="H66" s="303"/>
      <c r="I66" s="288"/>
      <c r="K66" s="38" t="str">
        <f t="shared" si="1"/>
        <v/>
      </c>
    </row>
    <row r="67" spans="1:11" ht="6" customHeight="1" thickBot="1">
      <c r="A67" s="288"/>
      <c r="B67" s="286"/>
      <c r="C67" s="286"/>
      <c r="D67" s="286"/>
      <c r="E67" s="286"/>
      <c r="F67" s="286"/>
      <c r="G67" s="304"/>
      <c r="H67" s="304"/>
      <c r="I67" s="288"/>
      <c r="K67" s="38" t="str">
        <f t="shared" si="1"/>
        <v/>
      </c>
    </row>
    <row r="68" spans="1:11" ht="12" customHeight="1" thickBot="1">
      <c r="A68" s="288"/>
      <c r="B68" s="75"/>
      <c r="C68" s="7" t="s">
        <v>1</v>
      </c>
      <c r="D68" s="109" t="s">
        <v>2</v>
      </c>
      <c r="E68" s="110" t="s">
        <v>3</v>
      </c>
      <c r="F68" s="8" t="s">
        <v>4</v>
      </c>
      <c r="G68" s="8" t="s">
        <v>5</v>
      </c>
      <c r="H68" s="9" t="s">
        <v>6</v>
      </c>
      <c r="I68" s="288"/>
      <c r="K68" s="38" t="str">
        <f t="shared" si="1"/>
        <v>10-CHL</v>
      </c>
    </row>
    <row r="69" spans="1:11" ht="12.9" customHeight="1">
      <c r="A69" s="288"/>
      <c r="B69" s="126" t="s">
        <v>68</v>
      </c>
      <c r="C69" s="6">
        <v>49</v>
      </c>
      <c r="D69" s="111" t="str">
        <f>B70&amp;".1"</f>
        <v>.1</v>
      </c>
      <c r="E69" s="82" t="str">
        <f>_xlfn.IFNA(_xlfn.XLOOKUP($K69, Power_Patch[Combined Rack Number and Outlet],Power_Patch[Fixture Type]), "")</f>
        <v/>
      </c>
      <c r="F69" s="82" t="str">
        <f>_xlfn.IFNA(_xlfn.XLOOKUP($K69, Power_Patch[Combined Rack Number and Outlet],Power_Patch[Fixture Number]), "")</f>
        <v/>
      </c>
      <c r="G69" s="294" t="str">
        <f>_xlfn.IFNA(_xlfn.XLOOKUP($K69, Power_Patch[Combined Rack Number and Outlet],Power_Patch[Location]), "")</f>
        <v/>
      </c>
      <c r="H69" s="204" t="str">
        <f t="shared" ref="H69:H74" si="9">IFERROR(VLOOKUP(E69,ActiveFixtures,2,FALSE),"")</f>
        <v/>
      </c>
      <c r="I69" s="288"/>
      <c r="K69" s="38" t="str">
        <f t="shared" si="1"/>
        <v>10-49</v>
      </c>
    </row>
    <row r="70" spans="1:11" ht="12.9" customHeight="1">
      <c r="A70" s="288"/>
      <c r="B70" s="406" t="str">
        <f>_xlfn.IFNA(_xlfn.XLOOKUP($K69, Power_Patch[Combined Rack Number and Outlet],Power_Patch[Multi Name]), "")</f>
        <v/>
      </c>
      <c r="C70" s="10">
        <v>50</v>
      </c>
      <c r="D70" s="112" t="str">
        <f>B70&amp;".2"</f>
        <v>.2</v>
      </c>
      <c r="E70" s="82" t="str">
        <f>_xlfn.IFNA(_xlfn.XLOOKUP($K70, Power_Patch[Combined Rack Number and Outlet],Power_Patch[Fixture Type]), "")</f>
        <v/>
      </c>
      <c r="F70" s="82" t="str">
        <f>_xlfn.IFNA(_xlfn.XLOOKUP($K70, Power_Patch[Combined Rack Number and Outlet],Power_Patch[Fixture Number]), "")</f>
        <v/>
      </c>
      <c r="G70" s="295"/>
      <c r="H70" s="11" t="str">
        <f t="shared" si="9"/>
        <v/>
      </c>
      <c r="I70" s="288"/>
      <c r="K70" s="38" t="str">
        <f t="shared" si="1"/>
        <v>10-50</v>
      </c>
    </row>
    <row r="71" spans="1:11" ht="12.9" customHeight="1">
      <c r="A71" s="288"/>
      <c r="B71" s="407"/>
      <c r="C71" s="6">
        <v>51</v>
      </c>
      <c r="D71" s="111" t="str">
        <f>B70&amp;".3"</f>
        <v>.3</v>
      </c>
      <c r="E71" s="82" t="str">
        <f>_xlfn.IFNA(_xlfn.XLOOKUP($K71, Power_Patch[Combined Rack Number and Outlet],Power_Patch[Fixture Type]), "")</f>
        <v/>
      </c>
      <c r="F71" s="82" t="str">
        <f>_xlfn.IFNA(_xlfn.XLOOKUP($K71, Power_Patch[Combined Rack Number and Outlet],Power_Patch[Fixture Number]), "")</f>
        <v/>
      </c>
      <c r="G71" s="295"/>
      <c r="H71" s="12" t="str">
        <f t="shared" si="9"/>
        <v/>
      </c>
      <c r="I71" s="288"/>
      <c r="K71" s="38" t="str">
        <f t="shared" ref="K71:K123" si="10">IF(ISBLANK(C71), "", $D$3&amp;"-"&amp;$C71)</f>
        <v>10-51</v>
      </c>
    </row>
    <row r="72" spans="1:11" ht="12.9" customHeight="1">
      <c r="A72" s="288"/>
      <c r="B72" s="407"/>
      <c r="C72" s="10">
        <v>52</v>
      </c>
      <c r="D72" s="112" t="str">
        <f>B70&amp;".4"</f>
        <v>.4</v>
      </c>
      <c r="E72" s="82" t="str">
        <f>_xlfn.IFNA(_xlfn.XLOOKUP($K72, Power_Patch[Combined Rack Number and Outlet],Power_Patch[Fixture Type]), "")</f>
        <v/>
      </c>
      <c r="F72" s="82" t="str">
        <f>_xlfn.IFNA(_xlfn.XLOOKUP($K72, Power_Patch[Combined Rack Number and Outlet],Power_Patch[Fixture Number]), "")</f>
        <v/>
      </c>
      <c r="G72" s="295"/>
      <c r="H72" s="204" t="str">
        <f t="shared" si="9"/>
        <v/>
      </c>
      <c r="I72" s="288"/>
      <c r="K72" s="38" t="str">
        <f t="shared" si="10"/>
        <v>10-52</v>
      </c>
    </row>
    <row r="73" spans="1:11" ht="12.9" customHeight="1">
      <c r="A73" s="288"/>
      <c r="B73" s="407"/>
      <c r="C73" s="6">
        <v>53</v>
      </c>
      <c r="D73" s="111" t="str">
        <f>B70&amp;".5"</f>
        <v>.5</v>
      </c>
      <c r="E73" s="82" t="str">
        <f>_xlfn.IFNA(_xlfn.XLOOKUP($K73, Power_Patch[Combined Rack Number and Outlet],Power_Patch[Fixture Type]), "")</f>
        <v/>
      </c>
      <c r="F73" s="82" t="str">
        <f>_xlfn.IFNA(_xlfn.XLOOKUP($K73, Power_Patch[Combined Rack Number and Outlet],Power_Patch[Fixture Number]), "")</f>
        <v/>
      </c>
      <c r="G73" s="295"/>
      <c r="H73" s="11" t="str">
        <f t="shared" si="9"/>
        <v/>
      </c>
      <c r="I73" s="288"/>
      <c r="K73" s="38" t="str">
        <f t="shared" si="10"/>
        <v>10-53</v>
      </c>
    </row>
    <row r="74" spans="1:11" ht="12.9" customHeight="1" thickBot="1">
      <c r="A74" s="288"/>
      <c r="B74" s="408"/>
      <c r="C74" s="10">
        <v>54</v>
      </c>
      <c r="D74" s="112" t="str">
        <f>B70&amp;".6"</f>
        <v>.6</v>
      </c>
      <c r="E74" s="82" t="str">
        <f>_xlfn.IFNA(_xlfn.XLOOKUP($K74, Power_Patch[Combined Rack Number and Outlet],Power_Patch[Fixture Type]), "")</f>
        <v/>
      </c>
      <c r="F74" s="82" t="str">
        <f>_xlfn.IFNA(_xlfn.XLOOKUP($K74, Power_Patch[Combined Rack Number and Outlet],Power_Patch[Fixture Number]), "")</f>
        <v/>
      </c>
      <c r="G74" s="296"/>
      <c r="H74" s="12" t="str">
        <f t="shared" si="9"/>
        <v/>
      </c>
      <c r="I74" s="288"/>
      <c r="K74" s="38" t="str">
        <f t="shared" si="10"/>
        <v>10-54</v>
      </c>
    </row>
    <row r="75" spans="1:11" ht="9.9" customHeight="1" thickBot="1">
      <c r="A75" s="288"/>
      <c r="B75" s="297"/>
      <c r="C75" s="297"/>
      <c r="D75" s="297"/>
      <c r="E75" s="297"/>
      <c r="F75" s="297"/>
      <c r="G75" s="297"/>
      <c r="H75" s="297"/>
      <c r="I75" s="288"/>
      <c r="K75" s="38" t="str">
        <f t="shared" si="10"/>
        <v/>
      </c>
    </row>
    <row r="76" spans="1:11" ht="12.9" customHeight="1">
      <c r="A76" s="288"/>
      <c r="B76" s="126" t="s">
        <v>68</v>
      </c>
      <c r="C76" s="44">
        <v>55</v>
      </c>
      <c r="D76" s="111" t="str">
        <f>B77&amp;".1"</f>
        <v>.1</v>
      </c>
      <c r="E76" s="82" t="str">
        <f>_xlfn.IFNA(_xlfn.XLOOKUP($K76, Power_Patch[Combined Rack Number and Outlet],Power_Patch[Fixture Type]), "")</f>
        <v/>
      </c>
      <c r="F76" s="82" t="str">
        <f>_xlfn.IFNA(_xlfn.XLOOKUP($K76, Power_Patch[Combined Rack Number and Outlet],Power_Patch[Fixture Number]), "")</f>
        <v/>
      </c>
      <c r="G76" s="294" t="str">
        <f>_xlfn.IFNA(_xlfn.XLOOKUP($K76, Power_Patch[Combined Rack Number and Outlet],Power_Patch[Location]), "")</f>
        <v/>
      </c>
      <c r="H76" s="204" t="str">
        <f t="shared" ref="H76:H81" si="11">IFERROR(VLOOKUP(E76,ActiveFixtures,2,FALSE),"")</f>
        <v/>
      </c>
      <c r="I76" s="288"/>
      <c r="K76" s="38" t="str">
        <f t="shared" si="10"/>
        <v>10-55</v>
      </c>
    </row>
    <row r="77" spans="1:11" ht="12.9" customHeight="1">
      <c r="A77" s="288"/>
      <c r="B77" s="406" t="str">
        <f>_xlfn.IFNA(_xlfn.XLOOKUP($K76, Power_Patch[Combined Rack Number and Outlet],Power_Patch[Multi Name]), "")</f>
        <v/>
      </c>
      <c r="C77" s="10">
        <v>56</v>
      </c>
      <c r="D77" s="112" t="str">
        <f>B77&amp;".2"</f>
        <v>.2</v>
      </c>
      <c r="E77" s="82" t="str">
        <f>_xlfn.IFNA(_xlfn.XLOOKUP($K77, Power_Patch[Combined Rack Number and Outlet],Power_Patch[Fixture Type]), "")</f>
        <v/>
      </c>
      <c r="F77" s="82" t="str">
        <f>_xlfn.IFNA(_xlfn.XLOOKUP($K77, Power_Patch[Combined Rack Number and Outlet],Power_Patch[Fixture Number]), "")</f>
        <v/>
      </c>
      <c r="G77" s="295"/>
      <c r="H77" s="11" t="str">
        <f t="shared" si="11"/>
        <v/>
      </c>
      <c r="I77" s="288"/>
      <c r="K77" s="38" t="str">
        <f t="shared" si="10"/>
        <v>10-56</v>
      </c>
    </row>
    <row r="78" spans="1:11" ht="12.9" customHeight="1">
      <c r="A78" s="288"/>
      <c r="B78" s="407"/>
      <c r="C78" s="10">
        <v>57</v>
      </c>
      <c r="D78" s="111" t="str">
        <f>B77&amp;".3"</f>
        <v>.3</v>
      </c>
      <c r="E78" s="82" t="str">
        <f>_xlfn.IFNA(_xlfn.XLOOKUP($K78, Power_Patch[Combined Rack Number and Outlet],Power_Patch[Fixture Type]), "")</f>
        <v/>
      </c>
      <c r="F78" s="82" t="str">
        <f>_xlfn.IFNA(_xlfn.XLOOKUP($K78, Power_Patch[Combined Rack Number and Outlet],Power_Patch[Fixture Number]), "")</f>
        <v/>
      </c>
      <c r="G78" s="295"/>
      <c r="H78" s="12" t="str">
        <f t="shared" si="11"/>
        <v/>
      </c>
      <c r="I78" s="288"/>
      <c r="K78" s="38" t="str">
        <f t="shared" si="10"/>
        <v>10-57</v>
      </c>
    </row>
    <row r="79" spans="1:11" ht="12.9" customHeight="1">
      <c r="A79" s="288"/>
      <c r="B79" s="407"/>
      <c r="C79" s="10">
        <v>58</v>
      </c>
      <c r="D79" s="112" t="str">
        <f>B77&amp;".4"</f>
        <v>.4</v>
      </c>
      <c r="E79" s="82" t="str">
        <f>_xlfn.IFNA(_xlfn.XLOOKUP($K79, Power_Patch[Combined Rack Number and Outlet],Power_Patch[Fixture Type]), "")</f>
        <v/>
      </c>
      <c r="F79" s="82" t="str">
        <f>_xlfn.IFNA(_xlfn.XLOOKUP($K79, Power_Patch[Combined Rack Number and Outlet],Power_Patch[Fixture Number]), "")</f>
        <v/>
      </c>
      <c r="G79" s="295"/>
      <c r="H79" s="204" t="str">
        <f t="shared" si="11"/>
        <v/>
      </c>
      <c r="I79" s="288"/>
      <c r="K79" s="38" t="str">
        <f t="shared" si="10"/>
        <v>10-58</v>
      </c>
    </row>
    <row r="80" spans="1:11" ht="12.9" customHeight="1">
      <c r="A80" s="288"/>
      <c r="B80" s="407"/>
      <c r="C80" s="10">
        <v>59</v>
      </c>
      <c r="D80" s="111" t="str">
        <f>B77&amp;".5"</f>
        <v>.5</v>
      </c>
      <c r="E80" s="82" t="str">
        <f>_xlfn.IFNA(_xlfn.XLOOKUP($K80, Power_Patch[Combined Rack Number and Outlet],Power_Patch[Fixture Type]), "")</f>
        <v/>
      </c>
      <c r="F80" s="82" t="str">
        <f>_xlfn.IFNA(_xlfn.XLOOKUP($K80, Power_Patch[Combined Rack Number and Outlet],Power_Patch[Fixture Number]), "")</f>
        <v/>
      </c>
      <c r="G80" s="295"/>
      <c r="H80" s="11" t="str">
        <f t="shared" si="11"/>
        <v/>
      </c>
      <c r="I80" s="288"/>
      <c r="K80" s="38" t="str">
        <f t="shared" si="10"/>
        <v>10-59</v>
      </c>
    </row>
    <row r="81" spans="1:11" ht="12.9" customHeight="1" thickBot="1">
      <c r="A81" s="288"/>
      <c r="B81" s="408"/>
      <c r="C81" s="125">
        <v>60</v>
      </c>
      <c r="D81" s="112" t="str">
        <f>B77&amp;".6"</f>
        <v>.6</v>
      </c>
      <c r="E81" s="82" t="str">
        <f>_xlfn.IFNA(_xlfn.XLOOKUP($K81, Power_Patch[Combined Rack Number and Outlet],Power_Patch[Fixture Type]), "")</f>
        <v/>
      </c>
      <c r="F81" s="82" t="str">
        <f>_xlfn.IFNA(_xlfn.XLOOKUP($K81, Power_Patch[Combined Rack Number and Outlet],Power_Patch[Fixture Number]), "")</f>
        <v/>
      </c>
      <c r="G81" s="296"/>
      <c r="H81" s="12" t="str">
        <f t="shared" si="11"/>
        <v/>
      </c>
      <c r="I81" s="288"/>
      <c r="K81" s="38" t="str">
        <f t="shared" si="10"/>
        <v>10-60</v>
      </c>
    </row>
    <row r="82" spans="1:11" ht="9.9" customHeight="1" thickBot="1">
      <c r="A82" s="288"/>
      <c r="B82" s="297"/>
      <c r="C82" s="297"/>
      <c r="D82" s="297"/>
      <c r="E82" s="297"/>
      <c r="F82" s="297"/>
      <c r="G82" s="297"/>
      <c r="H82" s="297"/>
      <c r="I82" s="288"/>
      <c r="K82" s="38" t="str">
        <f t="shared" si="10"/>
        <v/>
      </c>
    </row>
    <row r="83" spans="1:11" ht="12.9" customHeight="1">
      <c r="A83" s="288"/>
      <c r="B83" s="126" t="s">
        <v>68</v>
      </c>
      <c r="C83" s="44">
        <v>61</v>
      </c>
      <c r="D83" s="111" t="str">
        <f>B84&amp;".1"</f>
        <v>.1</v>
      </c>
      <c r="E83" s="82" t="str">
        <f>_xlfn.IFNA(_xlfn.XLOOKUP($K83, Power_Patch[Combined Rack Number and Outlet],Power_Patch[Fixture Type]), "")</f>
        <v/>
      </c>
      <c r="F83" s="82" t="str">
        <f>_xlfn.IFNA(_xlfn.XLOOKUP($K83, Power_Patch[Combined Rack Number and Outlet],Power_Patch[Fixture Number]), "")</f>
        <v/>
      </c>
      <c r="G83" s="294" t="str">
        <f>_xlfn.IFNA(_xlfn.XLOOKUP($K83, Power_Patch[Combined Rack Number and Outlet],Power_Patch[Location]), "")</f>
        <v/>
      </c>
      <c r="H83" s="204" t="str">
        <f t="shared" ref="H83:H88" si="12">IFERROR(VLOOKUP(E83,ActiveFixtures,2,FALSE),"")</f>
        <v/>
      </c>
      <c r="I83" s="288"/>
      <c r="K83" s="38" t="str">
        <f t="shared" si="10"/>
        <v>10-61</v>
      </c>
    </row>
    <row r="84" spans="1:11" ht="12.9" customHeight="1">
      <c r="A84" s="288"/>
      <c r="B84" s="406" t="str">
        <f>_xlfn.IFNA(_xlfn.XLOOKUP($K83, Power_Patch[Combined Rack Number and Outlet],Power_Patch[Multi Name]), "")</f>
        <v/>
      </c>
      <c r="C84" s="10">
        <v>62</v>
      </c>
      <c r="D84" s="112" t="str">
        <f>B84&amp;".2"</f>
        <v>.2</v>
      </c>
      <c r="E84" s="82" t="str">
        <f>_xlfn.IFNA(_xlfn.XLOOKUP($K84, Power_Patch[Combined Rack Number and Outlet],Power_Patch[Fixture Type]), "")</f>
        <v/>
      </c>
      <c r="F84" s="82" t="str">
        <f>_xlfn.IFNA(_xlfn.XLOOKUP($K84, Power_Patch[Combined Rack Number and Outlet],Power_Patch[Fixture Number]), "")</f>
        <v/>
      </c>
      <c r="G84" s="295"/>
      <c r="H84" s="11" t="str">
        <f t="shared" si="12"/>
        <v/>
      </c>
      <c r="I84" s="288"/>
      <c r="K84" s="38" t="str">
        <f t="shared" si="10"/>
        <v>10-62</v>
      </c>
    </row>
    <row r="85" spans="1:11" ht="12.9" customHeight="1">
      <c r="A85" s="288"/>
      <c r="B85" s="407"/>
      <c r="C85" s="10">
        <v>63</v>
      </c>
      <c r="D85" s="111" t="str">
        <f>B84&amp;".3"</f>
        <v>.3</v>
      </c>
      <c r="E85" s="82" t="str">
        <f>_xlfn.IFNA(_xlfn.XLOOKUP($K85, Power_Patch[Combined Rack Number and Outlet],Power_Patch[Fixture Type]), "")</f>
        <v/>
      </c>
      <c r="F85" s="82" t="str">
        <f>_xlfn.IFNA(_xlfn.XLOOKUP($K85, Power_Patch[Combined Rack Number and Outlet],Power_Patch[Fixture Number]), "")</f>
        <v/>
      </c>
      <c r="G85" s="295"/>
      <c r="H85" s="12" t="str">
        <f t="shared" si="12"/>
        <v/>
      </c>
      <c r="I85" s="288"/>
      <c r="K85" s="38" t="str">
        <f t="shared" si="10"/>
        <v>10-63</v>
      </c>
    </row>
    <row r="86" spans="1:11" ht="12.9" customHeight="1">
      <c r="A86" s="288"/>
      <c r="B86" s="407"/>
      <c r="C86" s="10">
        <v>64</v>
      </c>
      <c r="D86" s="112" t="str">
        <f>B84&amp;".4"</f>
        <v>.4</v>
      </c>
      <c r="E86" s="82" t="str">
        <f>_xlfn.IFNA(_xlfn.XLOOKUP($K86, Power_Patch[Combined Rack Number and Outlet],Power_Patch[Fixture Type]), "")</f>
        <v/>
      </c>
      <c r="F86" s="82" t="str">
        <f>_xlfn.IFNA(_xlfn.XLOOKUP($K86, Power_Patch[Combined Rack Number and Outlet],Power_Patch[Fixture Number]), "")</f>
        <v/>
      </c>
      <c r="G86" s="295"/>
      <c r="H86" s="204" t="str">
        <f t="shared" si="12"/>
        <v/>
      </c>
      <c r="I86" s="288"/>
      <c r="K86" s="38" t="str">
        <f t="shared" si="10"/>
        <v>10-64</v>
      </c>
    </row>
    <row r="87" spans="1:11" ht="12.9" customHeight="1">
      <c r="A87" s="288"/>
      <c r="B87" s="407"/>
      <c r="C87" s="10">
        <v>65</v>
      </c>
      <c r="D87" s="111" t="str">
        <f>B84&amp;".5"</f>
        <v>.5</v>
      </c>
      <c r="E87" s="82" t="str">
        <f>_xlfn.IFNA(_xlfn.XLOOKUP($K87, Power_Patch[Combined Rack Number and Outlet],Power_Patch[Fixture Type]), "")</f>
        <v/>
      </c>
      <c r="F87" s="82" t="str">
        <f>_xlfn.IFNA(_xlfn.XLOOKUP($K87, Power_Patch[Combined Rack Number and Outlet],Power_Patch[Fixture Number]), "")</f>
        <v/>
      </c>
      <c r="G87" s="295"/>
      <c r="H87" s="11" t="str">
        <f t="shared" si="12"/>
        <v/>
      </c>
      <c r="I87" s="288"/>
      <c r="K87" s="38" t="str">
        <f t="shared" si="10"/>
        <v>10-65</v>
      </c>
    </row>
    <row r="88" spans="1:11" ht="12.9" customHeight="1" thickBot="1">
      <c r="A88" s="288"/>
      <c r="B88" s="408"/>
      <c r="C88" s="125">
        <v>66</v>
      </c>
      <c r="D88" s="112" t="str">
        <f>B84&amp;".6"</f>
        <v>.6</v>
      </c>
      <c r="E88" s="82" t="str">
        <f>_xlfn.IFNA(_xlfn.XLOOKUP($K88, Power_Patch[Combined Rack Number and Outlet],Power_Patch[Fixture Type]), "")</f>
        <v/>
      </c>
      <c r="F88" s="82" t="str">
        <f>_xlfn.IFNA(_xlfn.XLOOKUP($K88, Power_Patch[Combined Rack Number and Outlet],Power_Patch[Fixture Number]), "")</f>
        <v/>
      </c>
      <c r="G88" s="296"/>
      <c r="H88" s="12" t="str">
        <f t="shared" si="12"/>
        <v/>
      </c>
      <c r="I88" s="288"/>
      <c r="K88" s="38" t="str">
        <f t="shared" si="10"/>
        <v>10-66</v>
      </c>
    </row>
    <row r="89" spans="1:11" ht="9.9" customHeight="1" thickBot="1">
      <c r="A89" s="288"/>
      <c r="B89" s="297"/>
      <c r="C89" s="297"/>
      <c r="D89" s="297"/>
      <c r="E89" s="297"/>
      <c r="F89" s="297"/>
      <c r="G89" s="297"/>
      <c r="H89" s="297"/>
      <c r="I89" s="288"/>
      <c r="K89" s="38" t="str">
        <f t="shared" si="10"/>
        <v/>
      </c>
    </row>
    <row r="90" spans="1:11" ht="12.9" customHeight="1">
      <c r="A90" s="288"/>
      <c r="B90" s="126" t="s">
        <v>68</v>
      </c>
      <c r="C90" s="44">
        <v>67</v>
      </c>
      <c r="D90" s="111" t="str">
        <f>B91&amp;".1"</f>
        <v>.1</v>
      </c>
      <c r="E90" s="82" t="str">
        <f>_xlfn.IFNA(_xlfn.XLOOKUP($K90, Power_Patch[Combined Rack Number and Outlet],Power_Patch[Fixture Type]), "")</f>
        <v/>
      </c>
      <c r="F90" s="82" t="str">
        <f>_xlfn.IFNA(_xlfn.XLOOKUP($K90, Power_Patch[Combined Rack Number and Outlet],Power_Patch[Fixture Number]), "")</f>
        <v/>
      </c>
      <c r="G90" s="294" t="str">
        <f>_xlfn.IFNA(_xlfn.XLOOKUP($K90, Power_Patch[Combined Rack Number and Outlet],Power_Patch[Location]), "")</f>
        <v/>
      </c>
      <c r="H90" s="204" t="str">
        <f t="shared" ref="H90:H95" si="13">IFERROR(VLOOKUP(E90,ActiveFixtures,2,FALSE),"")</f>
        <v/>
      </c>
      <c r="I90" s="288"/>
      <c r="K90" s="38" t="str">
        <f t="shared" si="10"/>
        <v>10-67</v>
      </c>
    </row>
    <row r="91" spans="1:11" ht="12.9" customHeight="1">
      <c r="A91" s="288"/>
      <c r="B91" s="406" t="str">
        <f>_xlfn.IFNA(_xlfn.XLOOKUP($K90, Power_Patch[Combined Rack Number and Outlet],Power_Patch[Multi Name]), "")</f>
        <v/>
      </c>
      <c r="C91" s="10">
        <v>68</v>
      </c>
      <c r="D91" s="112" t="str">
        <f>B91&amp;".2"</f>
        <v>.2</v>
      </c>
      <c r="E91" s="82" t="str">
        <f>_xlfn.IFNA(_xlfn.XLOOKUP($K91, Power_Patch[Combined Rack Number and Outlet],Power_Patch[Fixture Type]), "")</f>
        <v/>
      </c>
      <c r="F91" s="82" t="str">
        <f>_xlfn.IFNA(_xlfn.XLOOKUP($K91, Power_Patch[Combined Rack Number and Outlet],Power_Patch[Fixture Number]), "")</f>
        <v/>
      </c>
      <c r="G91" s="295"/>
      <c r="H91" s="11" t="str">
        <f t="shared" si="13"/>
        <v/>
      </c>
      <c r="I91" s="288"/>
      <c r="K91" s="38" t="str">
        <f t="shared" si="10"/>
        <v>10-68</v>
      </c>
    </row>
    <row r="92" spans="1:11" ht="12.9" customHeight="1">
      <c r="A92" s="288"/>
      <c r="B92" s="407"/>
      <c r="C92" s="127">
        <v>69</v>
      </c>
      <c r="D92" s="111" t="str">
        <f>B91&amp;".3"</f>
        <v>.3</v>
      </c>
      <c r="E92" s="82" t="str">
        <f>_xlfn.IFNA(_xlfn.XLOOKUP($K92, Power_Patch[Combined Rack Number and Outlet],Power_Patch[Fixture Type]), "")</f>
        <v/>
      </c>
      <c r="F92" s="82" t="str">
        <f>_xlfn.IFNA(_xlfn.XLOOKUP($K92, Power_Patch[Combined Rack Number and Outlet],Power_Patch[Fixture Number]), "")</f>
        <v/>
      </c>
      <c r="G92" s="295"/>
      <c r="H92" s="12" t="str">
        <f t="shared" si="13"/>
        <v/>
      </c>
      <c r="I92" s="288"/>
      <c r="K92" s="38" t="str">
        <f t="shared" si="10"/>
        <v>10-69</v>
      </c>
    </row>
    <row r="93" spans="1:11" ht="12.9" customHeight="1">
      <c r="A93" s="288"/>
      <c r="B93" s="407"/>
      <c r="C93" s="127">
        <v>70</v>
      </c>
      <c r="D93" s="112" t="str">
        <f>B91&amp;".4"</f>
        <v>.4</v>
      </c>
      <c r="E93" s="82" t="str">
        <f>_xlfn.IFNA(_xlfn.XLOOKUP($K93, Power_Patch[Combined Rack Number and Outlet],Power_Patch[Fixture Type]), "")</f>
        <v/>
      </c>
      <c r="F93" s="82" t="str">
        <f>_xlfn.IFNA(_xlfn.XLOOKUP($K93, Power_Patch[Combined Rack Number and Outlet],Power_Patch[Fixture Number]), "")</f>
        <v/>
      </c>
      <c r="G93" s="295"/>
      <c r="H93" s="204" t="str">
        <f t="shared" si="13"/>
        <v/>
      </c>
      <c r="I93" s="288"/>
      <c r="K93" s="38" t="str">
        <f t="shared" si="10"/>
        <v>10-70</v>
      </c>
    </row>
    <row r="94" spans="1:11" ht="12.9" customHeight="1">
      <c r="A94" s="288"/>
      <c r="B94" s="407"/>
      <c r="C94" s="10">
        <v>71</v>
      </c>
      <c r="D94" s="111" t="str">
        <f>B91&amp;".5"</f>
        <v>.5</v>
      </c>
      <c r="E94" s="82" t="str">
        <f>_xlfn.IFNA(_xlfn.XLOOKUP($K94, Power_Patch[Combined Rack Number and Outlet],Power_Patch[Fixture Type]), "")</f>
        <v/>
      </c>
      <c r="F94" s="82" t="str">
        <f>_xlfn.IFNA(_xlfn.XLOOKUP($K94, Power_Patch[Combined Rack Number and Outlet],Power_Patch[Fixture Number]), "")</f>
        <v/>
      </c>
      <c r="G94" s="295"/>
      <c r="H94" s="11" t="str">
        <f t="shared" si="13"/>
        <v/>
      </c>
      <c r="I94" s="288"/>
      <c r="K94" s="38" t="str">
        <f t="shared" si="10"/>
        <v>10-71</v>
      </c>
    </row>
    <row r="95" spans="1:11" ht="12.9" customHeight="1" thickBot="1">
      <c r="A95" s="288"/>
      <c r="B95" s="408"/>
      <c r="C95" s="125">
        <v>72</v>
      </c>
      <c r="D95" s="112" t="str">
        <f>B91&amp;".6"</f>
        <v>.6</v>
      </c>
      <c r="E95" s="82" t="str">
        <f>_xlfn.IFNA(_xlfn.XLOOKUP($K95, Power_Patch[Combined Rack Number and Outlet],Power_Patch[Fixture Type]), "")</f>
        <v/>
      </c>
      <c r="F95" s="82" t="str">
        <f>_xlfn.IFNA(_xlfn.XLOOKUP($K95, Power_Patch[Combined Rack Number and Outlet],Power_Patch[Fixture Number]), "")</f>
        <v/>
      </c>
      <c r="G95" s="296"/>
      <c r="H95" s="12" t="str">
        <f t="shared" si="13"/>
        <v/>
      </c>
      <c r="I95" s="288"/>
      <c r="K95" s="38" t="str">
        <f t="shared" si="10"/>
        <v>10-72</v>
      </c>
    </row>
    <row r="96" spans="1:11" ht="9.9" customHeight="1" thickBot="1">
      <c r="A96" s="288"/>
      <c r="B96" s="297"/>
      <c r="C96" s="297"/>
      <c r="D96" s="297"/>
      <c r="E96" s="297"/>
      <c r="F96" s="297"/>
      <c r="G96" s="297"/>
      <c r="H96" s="297"/>
      <c r="I96" s="288"/>
      <c r="K96" s="38" t="str">
        <f t="shared" si="10"/>
        <v/>
      </c>
    </row>
    <row r="97" spans="1:11" ht="12.9" customHeight="1">
      <c r="A97" s="288"/>
      <c r="B97" s="126" t="s">
        <v>68</v>
      </c>
      <c r="C97" s="45">
        <v>73</v>
      </c>
      <c r="D97" s="111" t="str">
        <f>B98&amp;".1"</f>
        <v>.1</v>
      </c>
      <c r="E97" s="82" t="str">
        <f>_xlfn.IFNA(_xlfn.XLOOKUP($K97, Power_Patch[Combined Rack Number and Outlet],Power_Patch[Fixture Type]), "")</f>
        <v/>
      </c>
      <c r="F97" s="82" t="str">
        <f>_xlfn.IFNA(_xlfn.XLOOKUP($K97, Power_Patch[Combined Rack Number and Outlet],Power_Patch[Fixture Number]), "")</f>
        <v/>
      </c>
      <c r="G97" s="294" t="str">
        <f>_xlfn.IFNA(_xlfn.XLOOKUP($K97, Power_Patch[Combined Rack Number and Outlet],Power_Patch[Location]), "")</f>
        <v/>
      </c>
      <c r="H97" s="204" t="str">
        <f t="shared" ref="H97:H102" si="14">IFERROR(VLOOKUP(E97,ActiveFixtures,2,FALSE),"")</f>
        <v/>
      </c>
      <c r="I97" s="288"/>
      <c r="K97" s="38" t="str">
        <f t="shared" si="10"/>
        <v>10-73</v>
      </c>
    </row>
    <row r="98" spans="1:11" ht="12.9" customHeight="1">
      <c r="A98" s="288"/>
      <c r="B98" s="406" t="str">
        <f>_xlfn.IFNA(_xlfn.XLOOKUP($K97, Power_Patch[Combined Rack Number and Outlet],Power_Patch[Multi Name]), "")</f>
        <v/>
      </c>
      <c r="C98" s="37">
        <v>74</v>
      </c>
      <c r="D98" s="112" t="str">
        <f>B98&amp;".2"</f>
        <v>.2</v>
      </c>
      <c r="E98" s="82" t="str">
        <f>_xlfn.IFNA(_xlfn.XLOOKUP($K98, Power_Patch[Combined Rack Number and Outlet],Power_Patch[Fixture Type]), "")</f>
        <v/>
      </c>
      <c r="F98" s="82" t="str">
        <f>_xlfn.IFNA(_xlfn.XLOOKUP($K98, Power_Patch[Combined Rack Number and Outlet],Power_Patch[Fixture Number]), "")</f>
        <v/>
      </c>
      <c r="G98" s="295"/>
      <c r="H98" s="11" t="str">
        <f t="shared" si="14"/>
        <v/>
      </c>
      <c r="I98" s="288"/>
      <c r="K98" s="38" t="str">
        <f t="shared" si="10"/>
        <v>10-74</v>
      </c>
    </row>
    <row r="99" spans="1:11" ht="12.9" customHeight="1">
      <c r="A99" s="288"/>
      <c r="B99" s="407"/>
      <c r="C99" s="37">
        <v>75</v>
      </c>
      <c r="D99" s="111" t="str">
        <f>B98&amp;".3"</f>
        <v>.3</v>
      </c>
      <c r="E99" s="82" t="str">
        <f>_xlfn.IFNA(_xlfn.XLOOKUP($K99, Power_Patch[Combined Rack Number and Outlet],Power_Patch[Fixture Type]), "")</f>
        <v/>
      </c>
      <c r="F99" s="82" t="str">
        <f>_xlfn.IFNA(_xlfn.XLOOKUP($K99, Power_Patch[Combined Rack Number and Outlet],Power_Patch[Fixture Number]), "")</f>
        <v/>
      </c>
      <c r="G99" s="295"/>
      <c r="H99" s="12" t="str">
        <f t="shared" si="14"/>
        <v/>
      </c>
      <c r="I99" s="288"/>
      <c r="K99" s="38" t="str">
        <f t="shared" si="10"/>
        <v>10-75</v>
      </c>
    </row>
    <row r="100" spans="1:11" ht="12.9" customHeight="1">
      <c r="A100" s="288"/>
      <c r="B100" s="407"/>
      <c r="C100" s="37">
        <v>76</v>
      </c>
      <c r="D100" s="112" t="str">
        <f>B98&amp;".4"</f>
        <v>.4</v>
      </c>
      <c r="E100" s="82" t="str">
        <f>_xlfn.IFNA(_xlfn.XLOOKUP($K100, Power_Patch[Combined Rack Number and Outlet],Power_Patch[Fixture Type]), "")</f>
        <v/>
      </c>
      <c r="F100" s="82" t="str">
        <f>_xlfn.IFNA(_xlfn.XLOOKUP($K100, Power_Patch[Combined Rack Number and Outlet],Power_Patch[Fixture Number]), "")</f>
        <v/>
      </c>
      <c r="G100" s="295"/>
      <c r="H100" s="204" t="str">
        <f t="shared" si="14"/>
        <v/>
      </c>
      <c r="I100" s="288"/>
      <c r="K100" s="38" t="str">
        <f t="shared" si="10"/>
        <v>10-76</v>
      </c>
    </row>
    <row r="101" spans="1:11" ht="12.9" customHeight="1">
      <c r="A101" s="288"/>
      <c r="B101" s="407"/>
      <c r="C101" s="37">
        <v>77</v>
      </c>
      <c r="D101" s="111" t="str">
        <f>B98&amp;".5"</f>
        <v>.5</v>
      </c>
      <c r="E101" s="82" t="str">
        <f>_xlfn.IFNA(_xlfn.XLOOKUP($K101, Power_Patch[Combined Rack Number and Outlet],Power_Patch[Fixture Type]), "")</f>
        <v/>
      </c>
      <c r="F101" s="82" t="str">
        <f>_xlfn.IFNA(_xlfn.XLOOKUP($K101, Power_Patch[Combined Rack Number and Outlet],Power_Patch[Fixture Number]), "")</f>
        <v/>
      </c>
      <c r="G101" s="295"/>
      <c r="H101" s="11" t="str">
        <f t="shared" si="14"/>
        <v/>
      </c>
      <c r="I101" s="288"/>
      <c r="K101" s="38" t="str">
        <f t="shared" si="10"/>
        <v>10-77</v>
      </c>
    </row>
    <row r="102" spans="1:11" ht="12.9" customHeight="1" thickBot="1">
      <c r="A102" s="288"/>
      <c r="B102" s="408"/>
      <c r="C102" s="128">
        <v>78</v>
      </c>
      <c r="D102" s="112" t="str">
        <f>B98&amp;".6"</f>
        <v>.6</v>
      </c>
      <c r="E102" s="82" t="str">
        <f>_xlfn.IFNA(_xlfn.XLOOKUP($K102, Power_Patch[Combined Rack Number and Outlet],Power_Patch[Fixture Type]), "")</f>
        <v/>
      </c>
      <c r="F102" s="82" t="str">
        <f>_xlfn.IFNA(_xlfn.XLOOKUP($K102, Power_Patch[Combined Rack Number and Outlet],Power_Patch[Fixture Number]), "")</f>
        <v/>
      </c>
      <c r="G102" s="296"/>
      <c r="H102" s="12" t="str">
        <f t="shared" si="14"/>
        <v/>
      </c>
      <c r="I102" s="288"/>
      <c r="K102" s="38" t="str">
        <f t="shared" si="10"/>
        <v>10-78</v>
      </c>
    </row>
    <row r="103" spans="1:11" ht="9.9" customHeight="1" thickBot="1">
      <c r="A103" s="288"/>
      <c r="B103" s="297"/>
      <c r="C103" s="297"/>
      <c r="D103" s="297"/>
      <c r="E103" s="297"/>
      <c r="F103" s="297"/>
      <c r="G103" s="297"/>
      <c r="H103" s="297"/>
      <c r="I103" s="288"/>
      <c r="K103" s="38" t="str">
        <f t="shared" si="10"/>
        <v/>
      </c>
    </row>
    <row r="104" spans="1:11" ht="12.9" customHeight="1">
      <c r="A104" s="288"/>
      <c r="B104" s="126" t="s">
        <v>68</v>
      </c>
      <c r="C104" s="44">
        <v>79</v>
      </c>
      <c r="D104" s="111" t="str">
        <f>B105&amp;".1"</f>
        <v>.1</v>
      </c>
      <c r="E104" s="82" t="str">
        <f>_xlfn.IFNA(_xlfn.XLOOKUP($K104, Power_Patch[Combined Rack Number and Outlet],Power_Patch[Fixture Type]), "")</f>
        <v/>
      </c>
      <c r="F104" s="82" t="str">
        <f>_xlfn.IFNA(_xlfn.XLOOKUP($K104, Power_Patch[Combined Rack Number and Outlet],Power_Patch[Fixture Number]), "")</f>
        <v/>
      </c>
      <c r="G104" s="294" t="str">
        <f>_xlfn.IFNA(_xlfn.XLOOKUP($K104, Power_Patch[Combined Rack Number and Outlet],Power_Patch[Location]), "")</f>
        <v/>
      </c>
      <c r="H104" s="204" t="str">
        <f t="shared" ref="H104:H109" si="15">IFERROR(VLOOKUP(E104,ActiveFixtures,2,FALSE),"")</f>
        <v/>
      </c>
      <c r="I104" s="288"/>
      <c r="K104" s="38" t="str">
        <f t="shared" si="10"/>
        <v>10-79</v>
      </c>
    </row>
    <row r="105" spans="1:11" ht="12.9" customHeight="1">
      <c r="A105" s="288"/>
      <c r="B105" s="406" t="str">
        <f>_xlfn.IFNA(_xlfn.XLOOKUP($K104, Power_Patch[Combined Rack Number and Outlet],Power_Patch[Multi Name]), "")</f>
        <v/>
      </c>
      <c r="C105" s="10">
        <v>80</v>
      </c>
      <c r="D105" s="112" t="str">
        <f>B105&amp;".2"</f>
        <v>.2</v>
      </c>
      <c r="E105" s="82" t="str">
        <f>_xlfn.IFNA(_xlfn.XLOOKUP($K105, Power_Patch[Combined Rack Number and Outlet],Power_Patch[Fixture Type]), "")</f>
        <v/>
      </c>
      <c r="F105" s="82" t="str">
        <f>_xlfn.IFNA(_xlfn.XLOOKUP($K105, Power_Patch[Combined Rack Number and Outlet],Power_Patch[Fixture Number]), "")</f>
        <v/>
      </c>
      <c r="G105" s="295"/>
      <c r="H105" s="11" t="str">
        <f t="shared" si="15"/>
        <v/>
      </c>
      <c r="I105" s="288"/>
      <c r="K105" s="38" t="str">
        <f t="shared" si="10"/>
        <v>10-80</v>
      </c>
    </row>
    <row r="106" spans="1:11" ht="12.9" customHeight="1">
      <c r="A106" s="288"/>
      <c r="B106" s="407"/>
      <c r="C106" s="10">
        <v>81</v>
      </c>
      <c r="D106" s="111" t="str">
        <f>B105&amp;".3"</f>
        <v>.3</v>
      </c>
      <c r="E106" s="82" t="str">
        <f>_xlfn.IFNA(_xlfn.XLOOKUP($K106, Power_Patch[Combined Rack Number and Outlet],Power_Patch[Fixture Type]), "")</f>
        <v/>
      </c>
      <c r="F106" s="82" t="str">
        <f>_xlfn.IFNA(_xlfn.XLOOKUP($K106, Power_Patch[Combined Rack Number and Outlet],Power_Patch[Fixture Number]), "")</f>
        <v/>
      </c>
      <c r="G106" s="295"/>
      <c r="H106" s="12" t="str">
        <f t="shared" si="15"/>
        <v/>
      </c>
      <c r="I106" s="288"/>
      <c r="K106" s="38" t="str">
        <f t="shared" si="10"/>
        <v>10-81</v>
      </c>
    </row>
    <row r="107" spans="1:11" ht="12.9" customHeight="1">
      <c r="A107" s="288"/>
      <c r="B107" s="407"/>
      <c r="C107" s="10">
        <v>82</v>
      </c>
      <c r="D107" s="112" t="str">
        <f>B105&amp;".4"</f>
        <v>.4</v>
      </c>
      <c r="E107" s="82" t="str">
        <f>_xlfn.IFNA(_xlfn.XLOOKUP($K107, Power_Patch[Combined Rack Number and Outlet],Power_Patch[Fixture Type]), "")</f>
        <v/>
      </c>
      <c r="F107" s="82" t="str">
        <f>_xlfn.IFNA(_xlfn.XLOOKUP($K107, Power_Patch[Combined Rack Number and Outlet],Power_Patch[Fixture Number]), "")</f>
        <v/>
      </c>
      <c r="G107" s="295"/>
      <c r="H107" s="204" t="str">
        <f t="shared" si="15"/>
        <v/>
      </c>
      <c r="I107" s="288"/>
      <c r="K107" s="38" t="str">
        <f t="shared" si="10"/>
        <v>10-82</v>
      </c>
    </row>
    <row r="108" spans="1:11" ht="12.9" customHeight="1">
      <c r="A108" s="288"/>
      <c r="B108" s="407"/>
      <c r="C108" s="10">
        <v>83</v>
      </c>
      <c r="D108" s="111" t="str">
        <f>B105&amp;".5"</f>
        <v>.5</v>
      </c>
      <c r="E108" s="82" t="str">
        <f>_xlfn.IFNA(_xlfn.XLOOKUP($K108, Power_Patch[Combined Rack Number and Outlet],Power_Patch[Fixture Type]), "")</f>
        <v/>
      </c>
      <c r="F108" s="82" t="str">
        <f>_xlfn.IFNA(_xlfn.XLOOKUP($K108, Power_Patch[Combined Rack Number and Outlet],Power_Patch[Fixture Number]), "")</f>
        <v/>
      </c>
      <c r="G108" s="295"/>
      <c r="H108" s="11" t="str">
        <f t="shared" si="15"/>
        <v/>
      </c>
      <c r="I108" s="288"/>
      <c r="K108" s="38" t="str">
        <f t="shared" si="10"/>
        <v>10-83</v>
      </c>
    </row>
    <row r="109" spans="1:11" ht="12.9" customHeight="1" thickBot="1">
      <c r="A109" s="288"/>
      <c r="B109" s="408"/>
      <c r="C109" s="125">
        <v>84</v>
      </c>
      <c r="D109" s="112" t="str">
        <f>B105&amp;".6"</f>
        <v>.6</v>
      </c>
      <c r="E109" s="82" t="str">
        <f>_xlfn.IFNA(_xlfn.XLOOKUP($K109, Power_Patch[Combined Rack Number and Outlet],Power_Patch[Fixture Type]), "")</f>
        <v/>
      </c>
      <c r="F109" s="82" t="str">
        <f>_xlfn.IFNA(_xlfn.XLOOKUP($K109, Power_Patch[Combined Rack Number and Outlet],Power_Patch[Fixture Number]), "")</f>
        <v/>
      </c>
      <c r="G109" s="296"/>
      <c r="H109" s="12" t="str">
        <f t="shared" si="15"/>
        <v/>
      </c>
      <c r="I109" s="288"/>
      <c r="K109" s="38" t="str">
        <f t="shared" si="10"/>
        <v>10-84</v>
      </c>
    </row>
    <row r="110" spans="1:11" ht="9.9" customHeight="1" thickBot="1">
      <c r="A110" s="288"/>
      <c r="B110" s="297"/>
      <c r="C110" s="297"/>
      <c r="D110" s="297"/>
      <c r="E110" s="297"/>
      <c r="F110" s="297"/>
      <c r="G110" s="297"/>
      <c r="H110" s="297"/>
      <c r="I110" s="288"/>
      <c r="K110" s="38" t="str">
        <f t="shared" si="10"/>
        <v/>
      </c>
    </row>
    <row r="111" spans="1:11" ht="12.9" customHeight="1">
      <c r="A111" s="288"/>
      <c r="B111" s="126" t="s">
        <v>68</v>
      </c>
      <c r="C111" s="44">
        <v>85</v>
      </c>
      <c r="D111" s="111" t="str">
        <f>B112&amp;".1"</f>
        <v>.1</v>
      </c>
      <c r="E111" s="82" t="str">
        <f>_xlfn.IFNA(_xlfn.XLOOKUP($K111, Power_Patch[Combined Rack Number and Outlet],Power_Patch[Fixture Type]), "")</f>
        <v/>
      </c>
      <c r="F111" s="82" t="str">
        <f>_xlfn.IFNA(_xlfn.XLOOKUP($K111, Power_Patch[Combined Rack Number and Outlet],Power_Patch[Fixture Number]), "")</f>
        <v/>
      </c>
      <c r="G111" s="294" t="str">
        <f>_xlfn.IFNA(_xlfn.XLOOKUP($K111, Power_Patch[Combined Rack Number and Outlet],Power_Patch[Location]), "")</f>
        <v/>
      </c>
      <c r="H111" s="204" t="str">
        <f t="shared" ref="H111:H116" si="16">IFERROR(VLOOKUP(E111,ActiveFixtures,2,FALSE),"")</f>
        <v/>
      </c>
      <c r="I111" s="288"/>
      <c r="K111" s="38" t="str">
        <f t="shared" si="10"/>
        <v>10-85</v>
      </c>
    </row>
    <row r="112" spans="1:11" ht="12.9" customHeight="1">
      <c r="A112" s="288"/>
      <c r="B112" s="406" t="str">
        <f>_xlfn.IFNA(_xlfn.XLOOKUP($K111, Power_Patch[Combined Rack Number and Outlet],Power_Patch[Multi Name]), "")</f>
        <v/>
      </c>
      <c r="C112" s="10">
        <v>86</v>
      </c>
      <c r="D112" s="112" t="str">
        <f>B112&amp;".2"</f>
        <v>.2</v>
      </c>
      <c r="E112" s="82" t="str">
        <f>_xlfn.IFNA(_xlfn.XLOOKUP($K112, Power_Patch[Combined Rack Number and Outlet],Power_Patch[Fixture Type]), "")</f>
        <v/>
      </c>
      <c r="F112" s="82" t="str">
        <f>_xlfn.IFNA(_xlfn.XLOOKUP($K112, Power_Patch[Combined Rack Number and Outlet],Power_Patch[Fixture Number]), "")</f>
        <v/>
      </c>
      <c r="G112" s="295"/>
      <c r="H112" s="11" t="str">
        <f t="shared" si="16"/>
        <v/>
      </c>
      <c r="I112" s="288"/>
      <c r="K112" s="38" t="str">
        <f t="shared" si="10"/>
        <v>10-86</v>
      </c>
    </row>
    <row r="113" spans="1:11" ht="12.9" customHeight="1">
      <c r="A113" s="288"/>
      <c r="B113" s="407"/>
      <c r="C113" s="10">
        <v>87</v>
      </c>
      <c r="D113" s="111" t="str">
        <f>B112&amp;".3"</f>
        <v>.3</v>
      </c>
      <c r="E113" s="82" t="str">
        <f>_xlfn.IFNA(_xlfn.XLOOKUP($K113, Power_Patch[Combined Rack Number and Outlet],Power_Patch[Fixture Type]), "")</f>
        <v/>
      </c>
      <c r="F113" s="82" t="str">
        <f>_xlfn.IFNA(_xlfn.XLOOKUP($K113, Power_Patch[Combined Rack Number and Outlet],Power_Patch[Fixture Number]), "")</f>
        <v/>
      </c>
      <c r="G113" s="295"/>
      <c r="H113" s="12" t="str">
        <f t="shared" si="16"/>
        <v/>
      </c>
      <c r="I113" s="288"/>
      <c r="K113" s="38" t="str">
        <f t="shared" si="10"/>
        <v>10-87</v>
      </c>
    </row>
    <row r="114" spans="1:11" ht="12.9" customHeight="1">
      <c r="A114" s="288"/>
      <c r="B114" s="407"/>
      <c r="C114" s="10">
        <v>88</v>
      </c>
      <c r="D114" s="112" t="str">
        <f>B112&amp;".4"</f>
        <v>.4</v>
      </c>
      <c r="E114" s="82" t="str">
        <f>_xlfn.IFNA(_xlfn.XLOOKUP($K114, Power_Patch[Combined Rack Number and Outlet],Power_Patch[Fixture Type]), "")</f>
        <v/>
      </c>
      <c r="F114" s="82" t="str">
        <f>_xlfn.IFNA(_xlfn.XLOOKUP($K114, Power_Patch[Combined Rack Number and Outlet],Power_Patch[Fixture Number]), "")</f>
        <v/>
      </c>
      <c r="G114" s="295"/>
      <c r="H114" s="204" t="str">
        <f t="shared" si="16"/>
        <v/>
      </c>
      <c r="I114" s="288"/>
      <c r="K114" s="38" t="str">
        <f t="shared" si="10"/>
        <v>10-88</v>
      </c>
    </row>
    <row r="115" spans="1:11" ht="12.9" customHeight="1">
      <c r="A115" s="288"/>
      <c r="B115" s="407"/>
      <c r="C115" s="10">
        <v>89</v>
      </c>
      <c r="D115" s="111" t="str">
        <f>B112&amp;".5"</f>
        <v>.5</v>
      </c>
      <c r="E115" s="82" t="str">
        <f>_xlfn.IFNA(_xlfn.XLOOKUP($K115, Power_Patch[Combined Rack Number and Outlet],Power_Patch[Fixture Type]), "")</f>
        <v/>
      </c>
      <c r="F115" s="82" t="str">
        <f>_xlfn.IFNA(_xlfn.XLOOKUP($K115, Power_Patch[Combined Rack Number and Outlet],Power_Patch[Fixture Number]), "")</f>
        <v/>
      </c>
      <c r="G115" s="295"/>
      <c r="H115" s="11" t="str">
        <f t="shared" si="16"/>
        <v/>
      </c>
      <c r="I115" s="288"/>
      <c r="K115" s="38" t="str">
        <f t="shared" si="10"/>
        <v>10-89</v>
      </c>
    </row>
    <row r="116" spans="1:11" ht="12.9" customHeight="1" thickBot="1">
      <c r="A116" s="288"/>
      <c r="B116" s="408"/>
      <c r="C116" s="125">
        <v>90</v>
      </c>
      <c r="D116" s="112" t="str">
        <f>B112&amp;".6"</f>
        <v>.6</v>
      </c>
      <c r="E116" s="82" t="str">
        <f>_xlfn.IFNA(_xlfn.XLOOKUP($K116, Power_Patch[Combined Rack Number and Outlet],Power_Patch[Fixture Type]), "")</f>
        <v/>
      </c>
      <c r="F116" s="82" t="str">
        <f>_xlfn.IFNA(_xlfn.XLOOKUP($K116, Power_Patch[Combined Rack Number and Outlet],Power_Patch[Fixture Number]), "")</f>
        <v/>
      </c>
      <c r="G116" s="296"/>
      <c r="H116" s="12" t="str">
        <f t="shared" si="16"/>
        <v/>
      </c>
      <c r="I116" s="288"/>
      <c r="K116" s="38" t="str">
        <f t="shared" si="10"/>
        <v>10-90</v>
      </c>
    </row>
    <row r="117" spans="1:11" ht="9.9" customHeight="1" thickBot="1">
      <c r="A117" s="288"/>
      <c r="B117" s="297"/>
      <c r="C117" s="297"/>
      <c r="D117" s="297"/>
      <c r="E117" s="297"/>
      <c r="F117" s="297"/>
      <c r="G117" s="297"/>
      <c r="H117" s="297"/>
      <c r="I117" s="288"/>
      <c r="K117" s="38" t="str">
        <f t="shared" si="10"/>
        <v/>
      </c>
    </row>
    <row r="118" spans="1:11" ht="12.9" customHeight="1">
      <c r="A118" s="288"/>
      <c r="B118" s="126" t="s">
        <v>68</v>
      </c>
      <c r="C118" s="44">
        <v>91</v>
      </c>
      <c r="D118" s="111" t="str">
        <f>B119&amp;".1"</f>
        <v>.1</v>
      </c>
      <c r="E118" s="82" t="str">
        <f>_xlfn.IFNA(_xlfn.XLOOKUP($K118, Power_Patch[Combined Rack Number and Outlet],Power_Patch[Fixture Type]), "")</f>
        <v/>
      </c>
      <c r="F118" s="82" t="str">
        <f>_xlfn.IFNA(_xlfn.XLOOKUP($K118, Power_Patch[Combined Rack Number and Outlet],Power_Patch[Fixture Number]), "")</f>
        <v/>
      </c>
      <c r="G118" s="294" t="str">
        <f>_xlfn.IFNA(_xlfn.XLOOKUP($K118, Power_Patch[Combined Rack Number and Outlet],Power_Patch[Location]), "")</f>
        <v/>
      </c>
      <c r="H118" s="204" t="str">
        <f t="shared" ref="H118:H123" si="17">IFERROR(VLOOKUP(E118,ActiveFixtures,2,FALSE),"")</f>
        <v/>
      </c>
      <c r="I118" s="288"/>
      <c r="K118" s="38" t="str">
        <f t="shared" si="10"/>
        <v>10-91</v>
      </c>
    </row>
    <row r="119" spans="1:11" ht="12.9" customHeight="1">
      <c r="A119" s="288"/>
      <c r="B119" s="406" t="str">
        <f>_xlfn.IFNA(_xlfn.XLOOKUP($K118, Power_Patch[Combined Rack Number and Outlet],Power_Patch[Multi Name]), "")</f>
        <v/>
      </c>
      <c r="C119" s="10">
        <v>92</v>
      </c>
      <c r="D119" s="112" t="str">
        <f>B119&amp;".2"</f>
        <v>.2</v>
      </c>
      <c r="E119" s="82" t="str">
        <f>_xlfn.IFNA(_xlfn.XLOOKUP($K119, Power_Patch[Combined Rack Number and Outlet],Power_Patch[Fixture Type]), "")</f>
        <v/>
      </c>
      <c r="F119" s="82" t="str">
        <f>_xlfn.IFNA(_xlfn.XLOOKUP($K119, Power_Patch[Combined Rack Number and Outlet],Power_Patch[Fixture Number]), "")</f>
        <v/>
      </c>
      <c r="G119" s="295"/>
      <c r="H119" s="11" t="str">
        <f t="shared" si="17"/>
        <v/>
      </c>
      <c r="I119" s="288"/>
      <c r="K119" s="38" t="str">
        <f t="shared" si="10"/>
        <v>10-92</v>
      </c>
    </row>
    <row r="120" spans="1:11" ht="12.9" customHeight="1">
      <c r="A120" s="288"/>
      <c r="B120" s="407"/>
      <c r="C120" s="10">
        <v>93</v>
      </c>
      <c r="D120" s="111" t="str">
        <f>B119&amp;".3"</f>
        <v>.3</v>
      </c>
      <c r="E120" s="82" t="str">
        <f>_xlfn.IFNA(_xlfn.XLOOKUP($K120, Power_Patch[Combined Rack Number and Outlet],Power_Patch[Fixture Type]), "")</f>
        <v/>
      </c>
      <c r="F120" s="82" t="str">
        <f>_xlfn.IFNA(_xlfn.XLOOKUP($K120, Power_Patch[Combined Rack Number and Outlet],Power_Patch[Fixture Number]), "")</f>
        <v/>
      </c>
      <c r="G120" s="295"/>
      <c r="H120" s="12" t="str">
        <f t="shared" si="17"/>
        <v/>
      </c>
      <c r="I120" s="288"/>
      <c r="K120" s="38" t="str">
        <f t="shared" si="10"/>
        <v>10-93</v>
      </c>
    </row>
    <row r="121" spans="1:11" ht="12.9" customHeight="1">
      <c r="A121" s="288"/>
      <c r="B121" s="407"/>
      <c r="C121" s="10">
        <v>94</v>
      </c>
      <c r="D121" s="112" t="str">
        <f>B119&amp;".4"</f>
        <v>.4</v>
      </c>
      <c r="E121" s="82" t="str">
        <f>_xlfn.IFNA(_xlfn.XLOOKUP($K121, Power_Patch[Combined Rack Number and Outlet],Power_Patch[Fixture Type]), "")</f>
        <v/>
      </c>
      <c r="F121" s="256" t="str">
        <f>_xlfn.IFNA(_xlfn.XLOOKUP($K121, Power_Patch[Combined Rack Number and Outlet],Power_Patch[Fixture Number]), "")</f>
        <v/>
      </c>
      <c r="G121" s="295"/>
      <c r="H121" s="204" t="str">
        <f t="shared" si="17"/>
        <v/>
      </c>
      <c r="I121" s="288"/>
      <c r="K121" s="38" t="str">
        <f t="shared" si="10"/>
        <v>10-94</v>
      </c>
    </row>
    <row r="122" spans="1:11" ht="12.9" customHeight="1">
      <c r="A122" s="288"/>
      <c r="B122" s="407"/>
      <c r="C122" s="10">
        <v>95</v>
      </c>
      <c r="D122" s="111" t="str">
        <f>B119&amp;".5"</f>
        <v>.5</v>
      </c>
      <c r="E122" s="82" t="str">
        <f>_xlfn.IFNA(_xlfn.XLOOKUP($K122, Power_Patch[Combined Rack Number and Outlet],Power_Patch[Fixture Type]), "")</f>
        <v/>
      </c>
      <c r="F122" s="82" t="str">
        <f>_xlfn.IFNA(_xlfn.XLOOKUP($K122, Power_Patch[Combined Rack Number and Outlet],Power_Patch[Fixture Number]), "")</f>
        <v/>
      </c>
      <c r="G122" s="295"/>
      <c r="H122" s="11" t="str">
        <f t="shared" si="17"/>
        <v/>
      </c>
      <c r="I122" s="288"/>
      <c r="K122" s="38" t="str">
        <f t="shared" si="10"/>
        <v>10-95</v>
      </c>
    </row>
    <row r="123" spans="1:11" ht="12.9" customHeight="1" thickBot="1">
      <c r="A123" s="288"/>
      <c r="B123" s="408"/>
      <c r="C123" s="125">
        <v>96</v>
      </c>
      <c r="D123" s="113" t="str">
        <f>B119&amp;".6"</f>
        <v>.6</v>
      </c>
      <c r="E123" s="82" t="str">
        <f>_xlfn.IFNA(_xlfn.XLOOKUP($K123, Power_Patch[Combined Rack Number and Outlet],Power_Patch[Fixture Type]), "")</f>
        <v/>
      </c>
      <c r="F123" s="82" t="str">
        <f>_xlfn.IFNA(_xlfn.XLOOKUP($K123, Power_Patch[Combined Rack Number and Outlet],Power_Patch[Fixture Number]), "")</f>
        <v/>
      </c>
      <c r="G123" s="296"/>
      <c r="H123" s="13" t="str">
        <f t="shared" si="17"/>
        <v/>
      </c>
      <c r="I123" s="288"/>
      <c r="K123" s="38" t="str">
        <f t="shared" si="10"/>
        <v>10-96</v>
      </c>
    </row>
    <row r="124" spans="1:11" ht="12.9" customHeight="1">
      <c r="B124" s="286"/>
      <c r="C124" s="286"/>
      <c r="D124" s="286"/>
      <c r="E124" s="287"/>
      <c r="F124" s="290" t="s">
        <v>7</v>
      </c>
      <c r="G124" s="291"/>
      <c r="H124" s="39">
        <f>SUM(H6,H9,H13,H16,H20,H23,H27,H30,H34,H37,H41,H44,H48,H51,H55,H58,H69,H72,H76,H79,H83,H86,H90,H93,H97,H100,H104,H107,H111,H114,H118,H121)</f>
        <v>0</v>
      </c>
      <c r="I124" s="288"/>
    </row>
    <row r="125" spans="1:11" ht="12.9" customHeight="1">
      <c r="B125" s="288"/>
      <c r="C125" s="288"/>
      <c r="D125" s="288"/>
      <c r="E125" s="289"/>
      <c r="F125" s="282" t="s">
        <v>8</v>
      </c>
      <c r="G125" s="283"/>
      <c r="H125" s="40">
        <f>SUM(H7,H10,H14,H17,H21,H24,H28,H31,H35,H38,H42,H45,H49,H52,H56,H59,H70,H73,H77,H80,H84,H87,H91,H94,H98,H101,H105,H108,H112,H115,H119,H122)</f>
        <v>0</v>
      </c>
      <c r="I125" s="288"/>
    </row>
    <row r="126" spans="1:11" ht="12.9" customHeight="1" thickBot="1">
      <c r="B126" s="288"/>
      <c r="C126" s="288"/>
      <c r="D126" s="288"/>
      <c r="E126" s="289"/>
      <c r="F126" s="284" t="s">
        <v>9</v>
      </c>
      <c r="G126" s="285"/>
      <c r="H126" s="41">
        <f>SUM(H8,H11,H15,H18,H22,H25,H29,H32,H36,H39,H43,H46,H50,H53,H57,H60,H71,H74,H78,H81,H85,H88,H92,H95,H99,H102,H106,H109,H113,H116,H120,H123)</f>
        <v>0</v>
      </c>
      <c r="I126" s="288"/>
    </row>
    <row r="127" spans="1:11" ht="12.9" customHeight="1">
      <c r="C127" s="38"/>
      <c r="D127" s="38"/>
      <c r="E127" s="38"/>
      <c r="I127" s="46"/>
    </row>
    <row r="142" spans="12:12" ht="12.9" customHeight="1">
      <c r="L142" s="133"/>
    </row>
  </sheetData>
  <sheetProtection formatCells="0" formatColumns="0" formatRows="0"/>
  <mergeCells count="69">
    <mergeCell ref="B4:C4"/>
    <mergeCell ref="D4:E4"/>
    <mergeCell ref="B124:E126"/>
    <mergeCell ref="F124:G124"/>
    <mergeCell ref="F125:G125"/>
    <mergeCell ref="F126:G126"/>
    <mergeCell ref="G97:G102"/>
    <mergeCell ref="B98:B102"/>
    <mergeCell ref="B103:H103"/>
    <mergeCell ref="G104:G109"/>
    <mergeCell ref="B105:B109"/>
    <mergeCell ref="B110:H110"/>
    <mergeCell ref="G111:G116"/>
    <mergeCell ref="B112:B116"/>
    <mergeCell ref="B117:H117"/>
    <mergeCell ref="G118:G123"/>
    <mergeCell ref="B119:B123"/>
    <mergeCell ref="B96:H96"/>
    <mergeCell ref="G69:G74"/>
    <mergeCell ref="B70:B74"/>
    <mergeCell ref="B75:H75"/>
    <mergeCell ref="G76:G81"/>
    <mergeCell ref="B77:B81"/>
    <mergeCell ref="B82:H82"/>
    <mergeCell ref="G83:G88"/>
    <mergeCell ref="B84:B88"/>
    <mergeCell ref="B89:H89"/>
    <mergeCell ref="G90:G95"/>
    <mergeCell ref="B91:B95"/>
    <mergeCell ref="G55:G60"/>
    <mergeCell ref="B56:B60"/>
    <mergeCell ref="B65:C65"/>
    <mergeCell ref="D65:F65"/>
    <mergeCell ref="G65:H67"/>
    <mergeCell ref="B66:C66"/>
    <mergeCell ref="D66:F66"/>
    <mergeCell ref="B67:F67"/>
    <mergeCell ref="A5:A123"/>
    <mergeCell ref="G6:G11"/>
    <mergeCell ref="B7:B11"/>
    <mergeCell ref="B12:H12"/>
    <mergeCell ref="G13:G18"/>
    <mergeCell ref="B14:B18"/>
    <mergeCell ref="B19:H19"/>
    <mergeCell ref="G20:G25"/>
    <mergeCell ref="B21:B25"/>
    <mergeCell ref="B26:H26"/>
    <mergeCell ref="B61:E63"/>
    <mergeCell ref="F61:G61"/>
    <mergeCell ref="F62:G62"/>
    <mergeCell ref="F63:G63"/>
    <mergeCell ref="G34:G39"/>
    <mergeCell ref="B35:B39"/>
    <mergeCell ref="B2:C2"/>
    <mergeCell ref="D2:F2"/>
    <mergeCell ref="H2:H3"/>
    <mergeCell ref="I2:I126"/>
    <mergeCell ref="B3:C3"/>
    <mergeCell ref="D3:F3"/>
    <mergeCell ref="G27:G32"/>
    <mergeCell ref="B28:B32"/>
    <mergeCell ref="B33:H33"/>
    <mergeCell ref="B40:H40"/>
    <mergeCell ref="G41:G46"/>
    <mergeCell ref="B42:B46"/>
    <mergeCell ref="B47:H47"/>
    <mergeCell ref="G48:G53"/>
    <mergeCell ref="B49:B53"/>
    <mergeCell ref="B54:H54"/>
  </mergeCells>
  <conditionalFormatting sqref="D6">
    <cfRule type="beginsWith" dxfId="136" priority="15" operator="beginsWith" text=".1">
      <formula>LEFT(D6,LEN(".1"))=".1"</formula>
    </cfRule>
  </conditionalFormatting>
  <conditionalFormatting sqref="D7">
    <cfRule type="beginsWith" dxfId="135" priority="14" operator="beginsWith" text=".2">
      <formula>LEFT(D7,LEN(".2"))=".2"</formula>
    </cfRule>
  </conditionalFormatting>
  <conditionalFormatting sqref="D8">
    <cfRule type="beginsWith" dxfId="134" priority="13" operator="beginsWith" text=".3">
      <formula>LEFT(D8,LEN(".3"))=".3"</formula>
    </cfRule>
  </conditionalFormatting>
  <conditionalFormatting sqref="D9">
    <cfRule type="beginsWith" dxfId="133" priority="12" operator="beginsWith" text=".4">
      <formula>LEFT(D9,LEN(".4"))=".4"</formula>
    </cfRule>
  </conditionalFormatting>
  <conditionalFormatting sqref="D10">
    <cfRule type="beginsWith" dxfId="132" priority="11" operator="beginsWith" text=".5">
      <formula>LEFT(D10,LEN(".5"))=".5"</formula>
    </cfRule>
  </conditionalFormatting>
  <conditionalFormatting sqref="D11">
    <cfRule type="beginsWith" dxfId="131" priority="10" operator="beginsWith" text=".6">
      <formula>LEFT(D11,LEN(".6"))=".6"</formula>
    </cfRule>
  </conditionalFormatting>
  <conditionalFormatting sqref="D13 D20 D27 D34 D41 D48 D55 D69 D76 D83 D90 D97 D104 D111 D118">
    <cfRule type="beginsWith" dxfId="130" priority="9" operator="beginsWith" text=".1">
      <formula>LEFT(D13,LEN(".1"))=".1"</formula>
    </cfRule>
  </conditionalFormatting>
  <conditionalFormatting sqref="D14 D21 D28 D35 D42 D49 D56 D70 D77 D84 D91 D98 D105 D112 D119">
    <cfRule type="beginsWith" dxfId="129" priority="8" operator="beginsWith" text=".2">
      <formula>LEFT(D14,LEN(".2"))=".2"</formula>
    </cfRule>
  </conditionalFormatting>
  <conditionalFormatting sqref="D15 D22 D29 D36 D43 D50 D57 D71 D78 D85 D92 D99 D106 D113 D120">
    <cfRule type="beginsWith" dxfId="128" priority="7" operator="beginsWith" text=".3">
      <formula>LEFT(D15,LEN(".3"))=".3"</formula>
    </cfRule>
  </conditionalFormatting>
  <conditionalFormatting sqref="D16 D23 D30 D37 D44 D51 D58 D72 D79 D86 D93 D100 D107 D114 D121">
    <cfRule type="beginsWith" dxfId="127" priority="6" operator="beginsWith" text=".4">
      <formula>LEFT(D16,LEN(".4"))=".4"</formula>
    </cfRule>
  </conditionalFormatting>
  <conditionalFormatting sqref="D17 D24 D31 D38 D45 D52 D59 D73 D80 D87 D94 D101 D108 D115 D122">
    <cfRule type="beginsWith" dxfId="126" priority="5" operator="beginsWith" text=".5">
      <formula>LEFT(D17,LEN(".5"))=".5"</formula>
    </cfRule>
  </conditionalFormatting>
  <conditionalFormatting sqref="D18 D25 D32 D39 D46 D53 D60 D74 D81 D88 D95 D102 D109 D116 D123">
    <cfRule type="beginsWith" dxfId="125" priority="4" operator="beginsWith" text=".6">
      <formula>LEFT(D18,LEN(".6"))=".6"</formula>
    </cfRule>
  </conditionalFormatting>
  <conditionalFormatting sqref="D2:F2">
    <cfRule type="cellIs" dxfId="124" priority="2" operator="equal">
      <formula>0</formula>
    </cfRule>
  </conditionalFormatting>
  <conditionalFormatting sqref="D65:F66">
    <cfRule type="cellIs" dxfId="123" priority="1" operator="equal">
      <formula>0</formula>
    </cfRule>
  </conditionalFormatting>
  <conditionalFormatting sqref="G65">
    <cfRule type="cellIs" dxfId="122" priority="3" operator="equal">
      <formula>0</formula>
    </cfRule>
  </conditionalFormatting>
  <dataValidations count="1">
    <dataValidation type="list" allowBlank="1" showInputMessage="1" showErrorMessage="1" sqref="E6:E11 E13:E18 E20:E25 E27:E32 E34:E39 E41:E46 E48:E53 E55:E60 E69:E74 E76:E81 E83:E88 E90:E95 E97:E102 E104:E109 E111:E116 E118:E123" xr:uid="{3A52C152-B71B-4F82-B78E-DAD985EBC64F}">
      <formula1>ActiveFixtureNames</formula1>
    </dataValidation>
  </dataValidations>
  <pageMargins left="0.4861111111111111" right="0.25" top="0.79166666666666663" bottom="0.7407407407407407" header="0.3" footer="0.3"/>
  <pageSetup paperSize="9" scale="89" orientation="portrait" r:id="rId1"/>
  <headerFooter>
    <oddHeader>&amp;L&amp;F
&amp;A</oddHeader>
    <oddFooter>&amp;C&amp;P</oddFooter>
  </headerFooter>
  <rowBreaks count="1" manualBreakCount="1">
    <brk id="63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8129-3F46-CD4F-A152-837FBAF68F64}">
  <dimension ref="A1:I61"/>
  <sheetViews>
    <sheetView zoomScaleNormal="100" zoomScaleSheetLayoutView="100" workbookViewId="0">
      <selection activeCell="A62" sqref="A62:XFD1048576"/>
    </sheetView>
  </sheetViews>
  <sheetFormatPr defaultColWidth="0" defaultRowHeight="12.6" zeroHeight="1"/>
  <cols>
    <col min="1" max="1" width="0.8984375" style="117" customWidth="1"/>
    <col min="2" max="2" width="8" style="117" customWidth="1"/>
    <col min="3" max="3" width="5.69921875" style="117" customWidth="1"/>
    <col min="4" max="4" width="10.59765625" style="117" customWidth="1"/>
    <col min="5" max="5" width="18.3984375" style="117" customWidth="1"/>
    <col min="6" max="6" width="17.3984375" style="117" customWidth="1"/>
    <col min="7" max="7" width="14.69921875" style="117" customWidth="1"/>
    <col min="8" max="8" width="7.5" style="117" customWidth="1"/>
    <col min="9" max="9" width="1.59765625" style="117" customWidth="1"/>
    <col min="10" max="16384" width="10.796875" style="117" hidden="1"/>
  </cols>
  <sheetData>
    <row r="1" spans="2:9" ht="17.100000000000001" customHeight="1" thickBot="1">
      <c r="B1" s="298" t="s">
        <v>0</v>
      </c>
      <c r="C1" s="299"/>
      <c r="D1" s="300" t="str">
        <f>Fixtures!C2</f>
        <v>Untitled Show</v>
      </c>
      <c r="E1" s="301"/>
      <c r="F1" s="302"/>
      <c r="G1" s="315"/>
      <c r="H1" s="315"/>
      <c r="I1" s="315"/>
    </row>
    <row r="2" spans="2:9" ht="17.100000000000001" customHeight="1" thickBot="1">
      <c r="B2" s="298" t="s">
        <v>73</v>
      </c>
      <c r="C2" s="299"/>
      <c r="D2" s="300"/>
      <c r="E2" s="301"/>
      <c r="F2" s="302"/>
      <c r="G2" s="315"/>
      <c r="H2" s="315"/>
      <c r="I2" s="315"/>
    </row>
    <row r="3" spans="2:9" ht="6" customHeight="1" thickBot="1">
      <c r="B3" s="320"/>
      <c r="C3" s="320"/>
      <c r="D3" s="320"/>
      <c r="E3" s="320"/>
      <c r="F3" s="320"/>
      <c r="G3" s="316"/>
      <c r="H3" s="316"/>
      <c r="I3" s="315"/>
    </row>
    <row r="4" spans="2:9" ht="12.9" customHeight="1" thickBot="1">
      <c r="B4" s="118"/>
      <c r="C4" s="72" t="s">
        <v>1</v>
      </c>
      <c r="D4" s="90" t="s">
        <v>2</v>
      </c>
      <c r="E4" s="73" t="s">
        <v>3</v>
      </c>
      <c r="F4" s="74" t="s">
        <v>4</v>
      </c>
      <c r="G4" s="74" t="s">
        <v>5</v>
      </c>
      <c r="H4" s="9" t="s">
        <v>6</v>
      </c>
      <c r="I4" s="315"/>
    </row>
    <row r="5" spans="2:9" ht="12.9" customHeight="1">
      <c r="B5" s="70" t="s">
        <v>69</v>
      </c>
      <c r="C5" s="83">
        <f>B6</f>
        <v>1</v>
      </c>
      <c r="D5" s="82"/>
      <c r="E5" s="82"/>
      <c r="F5" s="83"/>
      <c r="G5" s="66"/>
      <c r="H5" s="199" t="str">
        <f t="shared" ref="H5:H16" si="0">IFERROR(VLOOKUP(E5,CON_fixturesamps,2,FALSE),"")</f>
        <v/>
      </c>
      <c r="I5" s="315"/>
    </row>
    <row r="6" spans="2:9" ht="12.9" customHeight="1" thickBot="1">
      <c r="B6" s="65">
        <v>1</v>
      </c>
      <c r="C6" s="198">
        <f>B6+1</f>
        <v>2</v>
      </c>
      <c r="D6" s="84"/>
      <c r="E6" s="84"/>
      <c r="F6" s="83"/>
      <c r="G6" s="67"/>
      <c r="H6" s="199" t="str">
        <f t="shared" si="0"/>
        <v/>
      </c>
      <c r="I6" s="315"/>
    </row>
    <row r="7" spans="2:9" ht="12.9" customHeight="1">
      <c r="B7" s="318"/>
      <c r="C7" s="195">
        <f>B6+2</f>
        <v>3</v>
      </c>
      <c r="D7" s="82"/>
      <c r="E7" s="84"/>
      <c r="F7" s="83"/>
      <c r="G7" s="67"/>
      <c r="H7" s="199" t="str">
        <f t="shared" si="0"/>
        <v/>
      </c>
      <c r="I7" s="315"/>
    </row>
    <row r="8" spans="2:9" ht="12.9" customHeight="1">
      <c r="B8" s="319"/>
      <c r="C8" s="195">
        <f>B6+3</f>
        <v>4</v>
      </c>
      <c r="D8" s="84"/>
      <c r="E8" s="84"/>
      <c r="F8" s="83"/>
      <c r="G8" s="67"/>
      <c r="H8" s="199" t="str">
        <f t="shared" si="0"/>
        <v/>
      </c>
      <c r="I8" s="315"/>
    </row>
    <row r="9" spans="2:9" ht="12.9" customHeight="1">
      <c r="B9" s="319"/>
      <c r="C9" s="195">
        <f>B6+4</f>
        <v>5</v>
      </c>
      <c r="D9" s="82"/>
      <c r="E9" s="84"/>
      <c r="F9" s="83"/>
      <c r="G9" s="67"/>
      <c r="H9" s="77" t="str">
        <f t="shared" si="0"/>
        <v/>
      </c>
      <c r="I9" s="315"/>
    </row>
    <row r="10" spans="2:9" ht="12.9" customHeight="1">
      <c r="B10" s="319"/>
      <c r="C10" s="195">
        <f>B6+5</f>
        <v>6</v>
      </c>
      <c r="D10" s="84"/>
      <c r="E10" s="84"/>
      <c r="F10" s="83"/>
      <c r="G10" s="67"/>
      <c r="H10" s="77" t="str">
        <f t="shared" si="0"/>
        <v/>
      </c>
      <c r="I10" s="315"/>
    </row>
    <row r="11" spans="2:9" ht="12.9" customHeight="1">
      <c r="B11" s="319"/>
      <c r="C11" s="194">
        <f>B6+6</f>
        <v>7</v>
      </c>
      <c r="D11" s="82"/>
      <c r="E11" s="82"/>
      <c r="F11" s="83"/>
      <c r="G11" s="78"/>
      <c r="H11" s="77" t="str">
        <f t="shared" si="0"/>
        <v/>
      </c>
      <c r="I11" s="315"/>
    </row>
    <row r="12" spans="2:9" ht="12.9" customHeight="1">
      <c r="B12" s="319"/>
      <c r="C12" s="195">
        <f>B6+7</f>
        <v>8</v>
      </c>
      <c r="D12" s="84"/>
      <c r="E12" s="84"/>
      <c r="F12" s="83"/>
      <c r="G12" s="68"/>
      <c r="H12" s="77" t="str">
        <f t="shared" si="0"/>
        <v/>
      </c>
      <c r="I12" s="315"/>
    </row>
    <row r="13" spans="2:9" ht="12.9" customHeight="1">
      <c r="B13" s="319"/>
      <c r="C13" s="195">
        <f>B6+8</f>
        <v>9</v>
      </c>
      <c r="D13" s="82"/>
      <c r="E13" s="84"/>
      <c r="F13" s="83"/>
      <c r="G13" s="68"/>
      <c r="H13" s="79" t="str">
        <f t="shared" si="0"/>
        <v/>
      </c>
      <c r="I13" s="315"/>
    </row>
    <row r="14" spans="2:9" ht="12.9" customHeight="1">
      <c r="B14" s="319"/>
      <c r="C14" s="195">
        <f>B6+9</f>
        <v>10</v>
      </c>
      <c r="D14" s="84"/>
      <c r="E14" s="84"/>
      <c r="F14" s="83"/>
      <c r="G14" s="68"/>
      <c r="H14" s="79" t="str">
        <f t="shared" si="0"/>
        <v/>
      </c>
      <c r="I14" s="315"/>
    </row>
    <row r="15" spans="2:9" ht="12.9" customHeight="1">
      <c r="B15" s="319"/>
      <c r="C15" s="195">
        <f>B6+10</f>
        <v>11</v>
      </c>
      <c r="D15" s="82"/>
      <c r="E15" s="84"/>
      <c r="F15" s="83"/>
      <c r="G15" s="68"/>
      <c r="H15" s="79" t="str">
        <f t="shared" si="0"/>
        <v/>
      </c>
      <c r="I15" s="315"/>
    </row>
    <row r="16" spans="2:9" ht="12.9" customHeight="1" thickBot="1">
      <c r="B16" s="319"/>
      <c r="C16" s="196">
        <f>B6+11</f>
        <v>12</v>
      </c>
      <c r="D16" s="87"/>
      <c r="E16" s="87"/>
      <c r="F16" s="88"/>
      <c r="G16" s="69"/>
      <c r="H16" s="79" t="str">
        <f t="shared" si="0"/>
        <v/>
      </c>
      <c r="I16" s="315"/>
    </row>
    <row r="17" spans="2:9" ht="9.9" customHeight="1" thickBot="1">
      <c r="B17" s="319"/>
      <c r="C17" s="317"/>
      <c r="D17" s="317"/>
      <c r="E17" s="317"/>
      <c r="F17" s="317"/>
      <c r="G17" s="317"/>
      <c r="H17" s="317"/>
      <c r="I17" s="315"/>
    </row>
    <row r="18" spans="2:9" ht="12.9" customHeight="1">
      <c r="B18" s="319"/>
      <c r="C18" s="197">
        <f>B6+12</f>
        <v>13</v>
      </c>
      <c r="D18" s="85"/>
      <c r="E18" s="85"/>
      <c r="F18" s="86"/>
      <c r="G18" s="66"/>
      <c r="H18" s="200" t="str">
        <f t="shared" ref="H18:H29" si="1">IFERROR(VLOOKUP(E18,CON_fixturesamps,2,FALSE),"")</f>
        <v/>
      </c>
      <c r="I18" s="315"/>
    </row>
    <row r="19" spans="2:9" ht="12.9" customHeight="1">
      <c r="B19" s="319"/>
      <c r="C19" s="195">
        <f>B6+13</f>
        <v>14</v>
      </c>
      <c r="D19" s="84"/>
      <c r="E19" s="84"/>
      <c r="F19" s="83"/>
      <c r="G19" s="67"/>
      <c r="H19" s="201" t="str">
        <f t="shared" si="1"/>
        <v/>
      </c>
      <c r="I19" s="315"/>
    </row>
    <row r="20" spans="2:9" ht="12.9" customHeight="1">
      <c r="B20" s="319"/>
      <c r="C20" s="195">
        <f>B6+14</f>
        <v>15</v>
      </c>
      <c r="D20" s="82"/>
      <c r="E20" s="84"/>
      <c r="F20" s="83"/>
      <c r="G20" s="67"/>
      <c r="H20" s="201" t="str">
        <f t="shared" si="1"/>
        <v/>
      </c>
      <c r="I20" s="315"/>
    </row>
    <row r="21" spans="2:9" ht="12.9" customHeight="1">
      <c r="B21" s="319"/>
      <c r="C21" s="195">
        <f>B6+15</f>
        <v>16</v>
      </c>
      <c r="D21" s="84"/>
      <c r="E21" s="84"/>
      <c r="F21" s="83"/>
      <c r="G21" s="67"/>
      <c r="H21" s="201" t="str">
        <f t="shared" si="1"/>
        <v/>
      </c>
      <c r="I21" s="315"/>
    </row>
    <row r="22" spans="2:9" ht="12.9" customHeight="1">
      <c r="B22" s="319"/>
      <c r="C22" s="195">
        <f>B6+16</f>
        <v>17</v>
      </c>
      <c r="D22" s="82"/>
      <c r="E22" s="84"/>
      <c r="F22" s="83"/>
      <c r="G22" s="67"/>
      <c r="H22" s="124" t="str">
        <f t="shared" si="1"/>
        <v/>
      </c>
      <c r="I22" s="315"/>
    </row>
    <row r="23" spans="2:9" ht="12.9" customHeight="1">
      <c r="B23" s="319"/>
      <c r="C23" s="195">
        <f>B6+17</f>
        <v>18</v>
      </c>
      <c r="D23" s="84"/>
      <c r="E23" s="84"/>
      <c r="F23" s="83"/>
      <c r="G23" s="67"/>
      <c r="H23" s="124" t="str">
        <f t="shared" si="1"/>
        <v/>
      </c>
      <c r="I23" s="315"/>
    </row>
    <row r="24" spans="2:9" ht="12.9" customHeight="1">
      <c r="B24" s="319"/>
      <c r="C24" s="194">
        <f>B6+18</f>
        <v>19</v>
      </c>
      <c r="D24" s="82"/>
      <c r="E24" s="82"/>
      <c r="F24" s="83"/>
      <c r="G24" s="78"/>
      <c r="H24" s="124" t="str">
        <f t="shared" si="1"/>
        <v/>
      </c>
      <c r="I24" s="315"/>
    </row>
    <row r="25" spans="2:9" ht="12.9" customHeight="1">
      <c r="B25" s="319"/>
      <c r="C25" s="195">
        <f>B6+19</f>
        <v>20</v>
      </c>
      <c r="D25" s="84"/>
      <c r="E25" s="84"/>
      <c r="F25" s="83"/>
      <c r="G25" s="68"/>
      <c r="H25" s="124" t="str">
        <f t="shared" si="1"/>
        <v/>
      </c>
      <c r="I25" s="315"/>
    </row>
    <row r="26" spans="2:9" ht="12.9" customHeight="1">
      <c r="B26" s="319"/>
      <c r="C26" s="195">
        <f>B6+20</f>
        <v>21</v>
      </c>
      <c r="D26" s="82"/>
      <c r="E26" s="84"/>
      <c r="F26" s="83"/>
      <c r="G26" s="68"/>
      <c r="H26" s="122" t="str">
        <f t="shared" si="1"/>
        <v/>
      </c>
      <c r="I26" s="315"/>
    </row>
    <row r="27" spans="2:9" ht="12.9" customHeight="1">
      <c r="B27" s="319"/>
      <c r="C27" s="195">
        <f>B6+21</f>
        <v>22</v>
      </c>
      <c r="D27" s="84"/>
      <c r="E27" s="84"/>
      <c r="F27" s="83"/>
      <c r="G27" s="68"/>
      <c r="H27" s="122" t="str">
        <f t="shared" si="1"/>
        <v/>
      </c>
      <c r="I27" s="315"/>
    </row>
    <row r="28" spans="2:9" ht="12.9" customHeight="1">
      <c r="B28" s="319"/>
      <c r="C28" s="195">
        <f>+B6+22</f>
        <v>23</v>
      </c>
      <c r="D28" s="82"/>
      <c r="E28" s="84"/>
      <c r="F28" s="83"/>
      <c r="G28" s="68"/>
      <c r="H28" s="122" t="str">
        <f t="shared" si="1"/>
        <v/>
      </c>
      <c r="I28" s="315"/>
    </row>
    <row r="29" spans="2:9" ht="12.9" customHeight="1" thickBot="1">
      <c r="B29" s="319"/>
      <c r="C29" s="196">
        <f>B6+23</f>
        <v>24</v>
      </c>
      <c r="D29" s="87"/>
      <c r="E29" s="87"/>
      <c r="F29" s="88"/>
      <c r="G29" s="69"/>
      <c r="H29" s="123" t="str">
        <f t="shared" si="1"/>
        <v/>
      </c>
      <c r="I29" s="315"/>
    </row>
    <row r="30" spans="2:9" ht="9.9" customHeight="1" thickBot="1">
      <c r="B30" s="319"/>
      <c r="C30" s="316"/>
      <c r="D30" s="316"/>
      <c r="E30" s="316"/>
      <c r="F30" s="316"/>
      <c r="G30" s="316"/>
      <c r="H30" s="316"/>
      <c r="I30" s="315"/>
    </row>
    <row r="31" spans="2:9" ht="12.9" customHeight="1">
      <c r="B31" s="319"/>
      <c r="C31" s="197">
        <f>B6+24</f>
        <v>25</v>
      </c>
      <c r="D31" s="85"/>
      <c r="E31" s="85"/>
      <c r="F31" s="86"/>
      <c r="G31" s="66"/>
      <c r="H31" s="200" t="str">
        <f t="shared" ref="H31:H42" si="2">IFERROR(VLOOKUP(E31,CON_fixturesamps,2,FALSE),"")</f>
        <v/>
      </c>
      <c r="I31" s="315"/>
    </row>
    <row r="32" spans="2:9" ht="12.9" customHeight="1">
      <c r="B32" s="319"/>
      <c r="C32" s="195">
        <f>B6+25</f>
        <v>26</v>
      </c>
      <c r="D32" s="84"/>
      <c r="E32" s="84"/>
      <c r="F32" s="83"/>
      <c r="G32" s="67"/>
      <c r="H32" s="201" t="str">
        <f t="shared" si="2"/>
        <v/>
      </c>
      <c r="I32" s="315"/>
    </row>
    <row r="33" spans="2:9" ht="12.9" customHeight="1">
      <c r="B33" s="319"/>
      <c r="C33" s="195">
        <f>B6+26</f>
        <v>27</v>
      </c>
      <c r="D33" s="82"/>
      <c r="E33" s="84"/>
      <c r="F33" s="83"/>
      <c r="G33" s="67"/>
      <c r="H33" s="201" t="str">
        <f t="shared" si="2"/>
        <v/>
      </c>
      <c r="I33" s="315"/>
    </row>
    <row r="34" spans="2:9" ht="12.9" customHeight="1">
      <c r="B34" s="319"/>
      <c r="C34" s="195">
        <f>B6+27</f>
        <v>28</v>
      </c>
      <c r="D34" s="84"/>
      <c r="E34" s="84"/>
      <c r="F34" s="83"/>
      <c r="G34" s="67"/>
      <c r="H34" s="201" t="str">
        <f t="shared" si="2"/>
        <v/>
      </c>
      <c r="I34" s="315"/>
    </row>
    <row r="35" spans="2:9" ht="12.9" customHeight="1">
      <c r="B35" s="319"/>
      <c r="C35" s="195">
        <f>B6+28</f>
        <v>29</v>
      </c>
      <c r="D35" s="82"/>
      <c r="E35" s="84"/>
      <c r="F35" s="83"/>
      <c r="G35" s="67"/>
      <c r="H35" s="124" t="str">
        <f t="shared" si="2"/>
        <v/>
      </c>
      <c r="I35" s="315"/>
    </row>
    <row r="36" spans="2:9" ht="12.9" customHeight="1">
      <c r="B36" s="319"/>
      <c r="C36" s="195">
        <f>B6+29</f>
        <v>30</v>
      </c>
      <c r="D36" s="84"/>
      <c r="E36" s="84"/>
      <c r="F36" s="83"/>
      <c r="G36" s="67"/>
      <c r="H36" s="124" t="str">
        <f t="shared" si="2"/>
        <v/>
      </c>
      <c r="I36" s="315"/>
    </row>
    <row r="37" spans="2:9" ht="12.9" customHeight="1">
      <c r="B37" s="319"/>
      <c r="C37" s="194">
        <f>B6+30</f>
        <v>31</v>
      </c>
      <c r="D37" s="82"/>
      <c r="E37" s="82"/>
      <c r="F37" s="83"/>
      <c r="G37" s="78"/>
      <c r="H37" s="124" t="str">
        <f t="shared" si="2"/>
        <v/>
      </c>
      <c r="I37" s="315"/>
    </row>
    <row r="38" spans="2:9" ht="12.9" customHeight="1">
      <c r="B38" s="319"/>
      <c r="C38" s="195">
        <f>B6+31</f>
        <v>32</v>
      </c>
      <c r="D38" s="84"/>
      <c r="E38" s="84"/>
      <c r="F38" s="83"/>
      <c r="G38" s="68"/>
      <c r="H38" s="124" t="str">
        <f t="shared" si="2"/>
        <v/>
      </c>
      <c r="I38" s="315"/>
    </row>
    <row r="39" spans="2:9" ht="12.9" customHeight="1">
      <c r="B39" s="319"/>
      <c r="C39" s="195">
        <f>B6+32</f>
        <v>33</v>
      </c>
      <c r="D39" s="82"/>
      <c r="E39" s="84"/>
      <c r="F39" s="83"/>
      <c r="G39" s="68"/>
      <c r="H39" s="122" t="str">
        <f t="shared" si="2"/>
        <v/>
      </c>
      <c r="I39" s="315"/>
    </row>
    <row r="40" spans="2:9" ht="12.9" customHeight="1">
      <c r="B40" s="319"/>
      <c r="C40" s="195">
        <f>B6+33</f>
        <v>34</v>
      </c>
      <c r="D40" s="84"/>
      <c r="E40" s="84"/>
      <c r="F40" s="83"/>
      <c r="G40" s="68"/>
      <c r="H40" s="122" t="str">
        <f t="shared" si="2"/>
        <v/>
      </c>
      <c r="I40" s="315"/>
    </row>
    <row r="41" spans="2:9" ht="12.9" customHeight="1">
      <c r="B41" s="319"/>
      <c r="C41" s="195">
        <f>B6+34</f>
        <v>35</v>
      </c>
      <c r="D41" s="82"/>
      <c r="E41" s="84"/>
      <c r="F41" s="83"/>
      <c r="G41" s="68"/>
      <c r="H41" s="122" t="str">
        <f t="shared" si="2"/>
        <v/>
      </c>
      <c r="I41" s="315"/>
    </row>
    <row r="42" spans="2:9" ht="12.9" customHeight="1" thickBot="1">
      <c r="B42" s="319"/>
      <c r="C42" s="196">
        <f>B6+35</f>
        <v>36</v>
      </c>
      <c r="D42" s="87"/>
      <c r="E42" s="87"/>
      <c r="F42" s="88"/>
      <c r="G42" s="69"/>
      <c r="H42" s="123" t="str">
        <f t="shared" si="2"/>
        <v/>
      </c>
      <c r="I42" s="315"/>
    </row>
    <row r="43" spans="2:9" ht="9.9" customHeight="1" thickBot="1">
      <c r="B43" s="319"/>
      <c r="C43" s="317"/>
      <c r="D43" s="317"/>
      <c r="E43" s="317"/>
      <c r="F43" s="317"/>
      <c r="G43" s="317"/>
      <c r="H43" s="317"/>
      <c r="I43" s="315"/>
    </row>
    <row r="44" spans="2:9" ht="12.9" customHeight="1">
      <c r="B44" s="319"/>
      <c r="C44" s="197">
        <f>B6+36</f>
        <v>37</v>
      </c>
      <c r="D44" s="85"/>
      <c r="E44" s="85"/>
      <c r="F44" s="86"/>
      <c r="G44" s="66"/>
      <c r="H44" s="200" t="str">
        <f t="shared" ref="H44:H55" si="3">IFERROR(VLOOKUP(E44,CON_fixturesamps,2,FALSE),"")</f>
        <v/>
      </c>
      <c r="I44" s="315"/>
    </row>
    <row r="45" spans="2:9" ht="12.9" customHeight="1">
      <c r="B45" s="319"/>
      <c r="C45" s="195">
        <f>B6+37</f>
        <v>38</v>
      </c>
      <c r="D45" s="84"/>
      <c r="E45" s="84"/>
      <c r="F45" s="83"/>
      <c r="G45" s="67"/>
      <c r="H45" s="201" t="str">
        <f t="shared" si="3"/>
        <v/>
      </c>
      <c r="I45" s="315"/>
    </row>
    <row r="46" spans="2:9" ht="12.9" customHeight="1">
      <c r="B46" s="319"/>
      <c r="C46" s="195">
        <f>B6+38</f>
        <v>39</v>
      </c>
      <c r="D46" s="82"/>
      <c r="E46" s="84"/>
      <c r="F46" s="83"/>
      <c r="G46" s="67"/>
      <c r="H46" s="201" t="str">
        <f t="shared" si="3"/>
        <v/>
      </c>
      <c r="I46" s="315"/>
    </row>
    <row r="47" spans="2:9" ht="12.9" customHeight="1">
      <c r="B47" s="319"/>
      <c r="C47" s="195">
        <f>B6+39</f>
        <v>40</v>
      </c>
      <c r="D47" s="84"/>
      <c r="E47" s="84"/>
      <c r="F47" s="83"/>
      <c r="G47" s="67"/>
      <c r="H47" s="201" t="str">
        <f t="shared" si="3"/>
        <v/>
      </c>
      <c r="I47" s="315"/>
    </row>
    <row r="48" spans="2:9" ht="12.9" customHeight="1">
      <c r="B48" s="319"/>
      <c r="C48" s="195">
        <f>B6+40</f>
        <v>41</v>
      </c>
      <c r="D48" s="82"/>
      <c r="E48" s="84"/>
      <c r="F48" s="83"/>
      <c r="G48" s="67"/>
      <c r="H48" s="124" t="str">
        <f t="shared" si="3"/>
        <v/>
      </c>
      <c r="I48" s="315"/>
    </row>
    <row r="49" spans="2:9" ht="12.9" customHeight="1">
      <c r="B49" s="319"/>
      <c r="C49" s="195">
        <f>B6+41</f>
        <v>42</v>
      </c>
      <c r="D49" s="84"/>
      <c r="E49" s="84"/>
      <c r="F49" s="83"/>
      <c r="G49" s="67"/>
      <c r="H49" s="124" t="str">
        <f t="shared" si="3"/>
        <v/>
      </c>
      <c r="I49" s="315"/>
    </row>
    <row r="50" spans="2:9" ht="12.9" customHeight="1">
      <c r="B50" s="319"/>
      <c r="C50" s="194">
        <f>B6+42</f>
        <v>43</v>
      </c>
      <c r="D50" s="82"/>
      <c r="E50" s="82"/>
      <c r="F50" s="83"/>
      <c r="G50" s="78"/>
      <c r="H50" s="124" t="str">
        <f t="shared" si="3"/>
        <v/>
      </c>
      <c r="I50" s="315"/>
    </row>
    <row r="51" spans="2:9" ht="12.9" customHeight="1">
      <c r="B51" s="319"/>
      <c r="C51" s="195">
        <f>B6+43</f>
        <v>44</v>
      </c>
      <c r="D51" s="84"/>
      <c r="E51" s="84"/>
      <c r="F51" s="83"/>
      <c r="G51" s="68"/>
      <c r="H51" s="124" t="str">
        <f t="shared" si="3"/>
        <v/>
      </c>
      <c r="I51" s="315"/>
    </row>
    <row r="52" spans="2:9" ht="12.9" customHeight="1">
      <c r="B52" s="319"/>
      <c r="C52" s="195">
        <f>B6+44</f>
        <v>45</v>
      </c>
      <c r="D52" s="82"/>
      <c r="E52" s="84"/>
      <c r="F52" s="83"/>
      <c r="G52" s="68"/>
      <c r="H52" s="122" t="str">
        <f t="shared" si="3"/>
        <v/>
      </c>
      <c r="I52" s="315"/>
    </row>
    <row r="53" spans="2:9" ht="12.9" customHeight="1">
      <c r="B53" s="319"/>
      <c r="C53" s="195">
        <f>B6+45</f>
        <v>46</v>
      </c>
      <c r="D53" s="84"/>
      <c r="E53" s="84"/>
      <c r="F53" s="83"/>
      <c r="G53" s="68"/>
      <c r="H53" s="122" t="str">
        <f t="shared" si="3"/>
        <v/>
      </c>
      <c r="I53" s="315"/>
    </row>
    <row r="54" spans="2:9" ht="12.9" customHeight="1">
      <c r="B54" s="319"/>
      <c r="C54" s="195">
        <f>B6+46</f>
        <v>47</v>
      </c>
      <c r="D54" s="82"/>
      <c r="E54" s="84"/>
      <c r="F54" s="83"/>
      <c r="G54" s="68"/>
      <c r="H54" s="122" t="str">
        <f t="shared" si="3"/>
        <v/>
      </c>
      <c r="I54" s="315"/>
    </row>
    <row r="55" spans="2:9" ht="12.9" customHeight="1" thickBot="1">
      <c r="B55" s="319"/>
      <c r="C55" s="196">
        <f>B6+48</f>
        <v>49</v>
      </c>
      <c r="D55" s="87"/>
      <c r="E55" s="87"/>
      <c r="F55" s="88"/>
      <c r="G55" s="69"/>
      <c r="H55" s="123" t="str">
        <f t="shared" si="3"/>
        <v/>
      </c>
      <c r="I55" s="315"/>
    </row>
    <row r="56" spans="2:9">
      <c r="F56" s="305" t="s">
        <v>7</v>
      </c>
      <c r="G56" s="306"/>
      <c r="H56" s="119">
        <f>SUM(H5:H8,H18:H21,H31:H34,H44:H47)</f>
        <v>0</v>
      </c>
    </row>
    <row r="57" spans="2:9" ht="13.2" thickBot="1">
      <c r="F57" s="307" t="s">
        <v>8</v>
      </c>
      <c r="G57" s="308"/>
      <c r="H57" s="120">
        <f>SUM(H9:H12,H22:H25,H35:H38,H48:H51)</f>
        <v>0</v>
      </c>
    </row>
    <row r="58" spans="2:9" ht="13.2" thickBot="1">
      <c r="F58" s="292" t="s">
        <v>9</v>
      </c>
      <c r="G58" s="293"/>
      <c r="H58" s="121">
        <f>SUM(H13:H16,H26:H29,H39:H42,H52:H55)</f>
        <v>0</v>
      </c>
    </row>
    <row r="59" spans="2:9"/>
    <row r="60" spans="2:9"/>
    <row r="61" spans="2:9"/>
  </sheetData>
  <mergeCells count="14">
    <mergeCell ref="F56:G56"/>
    <mergeCell ref="F57:G57"/>
    <mergeCell ref="F58:G58"/>
    <mergeCell ref="G1:H3"/>
    <mergeCell ref="I1:I55"/>
    <mergeCell ref="C17:H17"/>
    <mergeCell ref="C30:H30"/>
    <mergeCell ref="C43:H43"/>
    <mergeCell ref="B1:C1"/>
    <mergeCell ref="D1:F1"/>
    <mergeCell ref="B2:C2"/>
    <mergeCell ref="D2:F2"/>
    <mergeCell ref="B7:B55"/>
    <mergeCell ref="B3:F3"/>
  </mergeCells>
  <conditionalFormatting sqref="D1:F1">
    <cfRule type="cellIs" dxfId="121" priority="1" operator="equal">
      <formula>0</formula>
    </cfRule>
  </conditionalFormatting>
  <pageMargins left="0.7" right="0.43055555555555558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1EE872-C257-5F4E-8B07-EC154B8E537E}">
          <x14:formula1>
            <xm:f>Fixtures!$K$6:$K$40</xm:f>
          </x14:formula1>
          <xm:sqref>E5:E16 E18:E29 E31:E42 E44:E55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B8EB-B1F3-4A40-9EFE-4A60C2B83AA5}">
  <dimension ref="A1:H60"/>
  <sheetViews>
    <sheetView zoomScaleNormal="100" zoomScaleSheetLayoutView="100" workbookViewId="0">
      <selection activeCell="G48" sqref="G48"/>
    </sheetView>
  </sheetViews>
  <sheetFormatPr defaultColWidth="0" defaultRowHeight="12.9" customHeight="1" zeroHeight="1"/>
  <cols>
    <col min="1" max="1" width="0.8984375" style="81" customWidth="1"/>
    <col min="2" max="2" width="5.69921875" style="81" customWidth="1"/>
    <col min="3" max="3" width="10.59765625" style="81" customWidth="1"/>
    <col min="4" max="4" width="18.3984375" style="81" customWidth="1"/>
    <col min="5" max="5" width="22.19921875" style="81" customWidth="1"/>
    <col min="6" max="6" width="14.69921875" style="81" customWidth="1"/>
    <col min="7" max="7" width="7.5" style="81" customWidth="1"/>
    <col min="8" max="8" width="1.59765625" style="81" customWidth="1"/>
    <col min="9" max="16384" width="10.796875" style="81" hidden="1"/>
  </cols>
  <sheetData>
    <row r="1" spans="2:7" ht="17.100000000000001" customHeight="1" thickBot="1">
      <c r="B1" s="298" t="s">
        <v>0</v>
      </c>
      <c r="C1" s="299"/>
      <c r="D1" s="300" t="str">
        <f>Fixtures!C2</f>
        <v>Untitled Show</v>
      </c>
      <c r="E1" s="302"/>
    </row>
    <row r="2" spans="2:7" ht="17.100000000000001" customHeight="1" thickBot="1">
      <c r="B2" s="298" t="s">
        <v>72</v>
      </c>
      <c r="C2" s="299"/>
      <c r="D2" s="300"/>
      <c r="E2" s="302"/>
    </row>
    <row r="3" spans="2:7" ht="9" customHeight="1" thickBot="1">
      <c r="G3" s="76"/>
    </row>
    <row r="4" spans="2:7" ht="12.9" customHeight="1" thickBot="1">
      <c r="B4" s="72" t="s">
        <v>1</v>
      </c>
      <c r="C4" s="90" t="s">
        <v>2</v>
      </c>
      <c r="D4" s="73" t="s">
        <v>3</v>
      </c>
      <c r="E4" s="74" t="s">
        <v>4</v>
      </c>
      <c r="F4" s="74" t="s">
        <v>5</v>
      </c>
      <c r="G4" s="9" t="s">
        <v>6</v>
      </c>
    </row>
    <row r="5" spans="2:7" ht="12.9" customHeight="1">
      <c r="B5" s="194">
        <v>1</v>
      </c>
      <c r="C5" s="82"/>
      <c r="D5" s="82"/>
      <c r="E5" s="83"/>
      <c r="F5" s="66"/>
      <c r="G5" s="199">
        <f t="shared" ref="G5:G16" si="0">IFERROR(VLOOKUP(D5,ActiveFixtures,2,FALSE),"")</f>
        <v>0</v>
      </c>
    </row>
    <row r="6" spans="2:7" ht="12.9" customHeight="1">
      <c r="B6" s="195">
        <v>2</v>
      </c>
      <c r="C6" s="84"/>
      <c r="D6" s="84"/>
      <c r="E6" s="83"/>
      <c r="F6" s="67"/>
      <c r="G6" s="199">
        <f t="shared" si="0"/>
        <v>0</v>
      </c>
    </row>
    <row r="7" spans="2:7" ht="12.9" customHeight="1">
      <c r="B7" s="195">
        <v>3</v>
      </c>
      <c r="C7" s="82"/>
      <c r="D7" s="84"/>
      <c r="E7" s="83"/>
      <c r="F7" s="67"/>
      <c r="G7" s="199">
        <f t="shared" si="0"/>
        <v>0</v>
      </c>
    </row>
    <row r="8" spans="2:7" ht="12.9" customHeight="1">
      <c r="B8" s="195">
        <v>4</v>
      </c>
      <c r="C8" s="84"/>
      <c r="D8" s="84"/>
      <c r="E8" s="83"/>
      <c r="F8" s="67"/>
      <c r="G8" s="199">
        <f t="shared" si="0"/>
        <v>0</v>
      </c>
    </row>
    <row r="9" spans="2:7" ht="12.9" customHeight="1">
      <c r="B9" s="195">
        <v>5</v>
      </c>
      <c r="C9" s="82"/>
      <c r="D9" s="84"/>
      <c r="E9" s="83"/>
      <c r="F9" s="67"/>
      <c r="G9" s="77">
        <f t="shared" si="0"/>
        <v>0</v>
      </c>
    </row>
    <row r="10" spans="2:7" ht="12.9" customHeight="1">
      <c r="B10" s="195">
        <v>6</v>
      </c>
      <c r="C10" s="84"/>
      <c r="D10" s="84"/>
      <c r="E10" s="83"/>
      <c r="F10" s="67"/>
      <c r="G10" s="77">
        <f t="shared" si="0"/>
        <v>0</v>
      </c>
    </row>
    <row r="11" spans="2:7" ht="12.9" customHeight="1">
      <c r="B11" s="194">
        <v>7</v>
      </c>
      <c r="C11" s="82"/>
      <c r="D11" s="82"/>
      <c r="E11" s="83"/>
      <c r="F11" s="78"/>
      <c r="G11" s="77">
        <f t="shared" si="0"/>
        <v>0</v>
      </c>
    </row>
    <row r="12" spans="2:7" ht="12.9" customHeight="1">
      <c r="B12" s="195">
        <v>8</v>
      </c>
      <c r="C12" s="84"/>
      <c r="D12" s="84"/>
      <c r="E12" s="83"/>
      <c r="F12" s="68"/>
      <c r="G12" s="77">
        <f t="shared" si="0"/>
        <v>0</v>
      </c>
    </row>
    <row r="13" spans="2:7" ht="12.9" customHeight="1">
      <c r="B13" s="195">
        <v>9</v>
      </c>
      <c r="C13" s="82"/>
      <c r="D13" s="84"/>
      <c r="E13" s="83"/>
      <c r="F13" s="68"/>
      <c r="G13" s="79">
        <f t="shared" si="0"/>
        <v>0</v>
      </c>
    </row>
    <row r="14" spans="2:7" ht="12.9" customHeight="1">
      <c r="B14" s="195">
        <v>10</v>
      </c>
      <c r="C14" s="84"/>
      <c r="D14" s="84"/>
      <c r="E14" s="83"/>
      <c r="F14" s="68"/>
      <c r="G14" s="79">
        <f t="shared" si="0"/>
        <v>0</v>
      </c>
    </row>
    <row r="15" spans="2:7" ht="12.9" customHeight="1">
      <c r="B15" s="195">
        <v>11</v>
      </c>
      <c r="C15" s="82"/>
      <c r="D15" s="84"/>
      <c r="E15" s="83"/>
      <c r="F15" s="68"/>
      <c r="G15" s="79">
        <f t="shared" si="0"/>
        <v>0</v>
      </c>
    </row>
    <row r="16" spans="2:7" ht="12.9" customHeight="1" thickBot="1">
      <c r="B16" s="196">
        <v>12</v>
      </c>
      <c r="C16" s="87"/>
      <c r="D16" s="87"/>
      <c r="E16" s="88"/>
      <c r="F16" s="69"/>
      <c r="G16" s="80">
        <f t="shared" si="0"/>
        <v>0</v>
      </c>
    </row>
    <row r="17" spans="2:7" ht="12.9" customHeight="1" thickBot="1">
      <c r="G17" s="76"/>
    </row>
    <row r="18" spans="2:7" ht="12.9" customHeight="1">
      <c r="B18" s="197">
        <v>1</v>
      </c>
      <c r="C18" s="85"/>
      <c r="D18" s="85"/>
      <c r="E18" s="86"/>
      <c r="F18" s="66"/>
      <c r="G18" s="202">
        <f t="shared" ref="G18:G29" si="1">IFERROR(VLOOKUP(D18,ActiveFixtures,2,FALSE),"")</f>
        <v>0</v>
      </c>
    </row>
    <row r="19" spans="2:7" ht="12.9" customHeight="1">
      <c r="B19" s="195">
        <v>2</v>
      </c>
      <c r="C19" s="84"/>
      <c r="D19" s="84"/>
      <c r="E19" s="83"/>
      <c r="F19" s="67"/>
      <c r="G19" s="199">
        <f t="shared" si="1"/>
        <v>0</v>
      </c>
    </row>
    <row r="20" spans="2:7" ht="12.9" customHeight="1">
      <c r="B20" s="195">
        <v>3</v>
      </c>
      <c r="C20" s="82"/>
      <c r="D20" s="84"/>
      <c r="E20" s="83"/>
      <c r="F20" s="67"/>
      <c r="G20" s="199">
        <f t="shared" si="1"/>
        <v>0</v>
      </c>
    </row>
    <row r="21" spans="2:7" ht="12.9" customHeight="1">
      <c r="B21" s="195">
        <v>4</v>
      </c>
      <c r="C21" s="84"/>
      <c r="D21" s="84"/>
      <c r="E21" s="83"/>
      <c r="F21" s="67"/>
      <c r="G21" s="199">
        <f t="shared" si="1"/>
        <v>0</v>
      </c>
    </row>
    <row r="22" spans="2:7" ht="12.9" customHeight="1">
      <c r="B22" s="195">
        <v>5</v>
      </c>
      <c r="C22" s="82"/>
      <c r="D22" s="84"/>
      <c r="E22" s="83"/>
      <c r="F22" s="67"/>
      <c r="G22" s="77">
        <f t="shared" si="1"/>
        <v>0</v>
      </c>
    </row>
    <row r="23" spans="2:7" ht="12.9" customHeight="1">
      <c r="B23" s="195">
        <v>6</v>
      </c>
      <c r="C23" s="84"/>
      <c r="D23" s="84"/>
      <c r="E23" s="83"/>
      <c r="F23" s="67"/>
      <c r="G23" s="77">
        <f t="shared" si="1"/>
        <v>0</v>
      </c>
    </row>
    <row r="24" spans="2:7" ht="12.9" customHeight="1">
      <c r="B24" s="194">
        <v>7</v>
      </c>
      <c r="C24" s="82"/>
      <c r="D24" s="82"/>
      <c r="E24" s="83"/>
      <c r="F24" s="78"/>
      <c r="G24" s="77">
        <f t="shared" si="1"/>
        <v>0</v>
      </c>
    </row>
    <row r="25" spans="2:7" ht="12.9" customHeight="1">
      <c r="B25" s="195">
        <v>8</v>
      </c>
      <c r="C25" s="84"/>
      <c r="D25" s="84"/>
      <c r="E25" s="83"/>
      <c r="F25" s="68"/>
      <c r="G25" s="77">
        <f t="shared" si="1"/>
        <v>0</v>
      </c>
    </row>
    <row r="26" spans="2:7" ht="12.9" customHeight="1">
      <c r="B26" s="195">
        <v>9</v>
      </c>
      <c r="C26" s="82"/>
      <c r="D26" s="84"/>
      <c r="E26" s="83"/>
      <c r="F26" s="68"/>
      <c r="G26" s="79">
        <f t="shared" si="1"/>
        <v>0</v>
      </c>
    </row>
    <row r="27" spans="2:7" ht="12.9" customHeight="1">
      <c r="B27" s="195">
        <v>10</v>
      </c>
      <c r="C27" s="84"/>
      <c r="D27" s="84"/>
      <c r="E27" s="83"/>
      <c r="F27" s="68"/>
      <c r="G27" s="79">
        <f t="shared" si="1"/>
        <v>0</v>
      </c>
    </row>
    <row r="28" spans="2:7" ht="12.9" customHeight="1">
      <c r="B28" s="195">
        <v>11</v>
      </c>
      <c r="C28" s="82"/>
      <c r="D28" s="84"/>
      <c r="E28" s="83"/>
      <c r="F28" s="68"/>
      <c r="G28" s="79">
        <f t="shared" si="1"/>
        <v>0</v>
      </c>
    </row>
    <row r="29" spans="2:7" ht="12.9" customHeight="1" thickBot="1">
      <c r="B29" s="196">
        <v>12</v>
      </c>
      <c r="C29" s="87"/>
      <c r="D29" s="87"/>
      <c r="E29" s="88"/>
      <c r="F29" s="69"/>
      <c r="G29" s="80">
        <f t="shared" si="1"/>
        <v>0</v>
      </c>
    </row>
    <row r="30" spans="2:7" ht="12.9" customHeight="1" thickBot="1">
      <c r="G30" s="76"/>
    </row>
    <row r="31" spans="2:7" ht="12.9" customHeight="1">
      <c r="B31" s="197">
        <v>1</v>
      </c>
      <c r="C31" s="85"/>
      <c r="D31" s="85"/>
      <c r="E31" s="86"/>
      <c r="F31" s="66"/>
      <c r="G31" s="202">
        <f t="shared" ref="G31:G55" si="2">IFERROR(VLOOKUP(D31,ActiveFixtures,2,FALSE),"")</f>
        <v>0</v>
      </c>
    </row>
    <row r="32" spans="2:7" ht="12.9" customHeight="1">
      <c r="B32" s="195">
        <v>2</v>
      </c>
      <c r="C32" s="84"/>
      <c r="D32" s="84"/>
      <c r="E32" s="83"/>
      <c r="F32" s="67"/>
      <c r="G32" s="199">
        <f t="shared" si="2"/>
        <v>0</v>
      </c>
    </row>
    <row r="33" spans="2:7" ht="12.9" customHeight="1">
      <c r="B33" s="195">
        <v>3</v>
      </c>
      <c r="C33" s="82"/>
      <c r="D33" s="84"/>
      <c r="E33" s="83"/>
      <c r="F33" s="67"/>
      <c r="G33" s="199">
        <f t="shared" si="2"/>
        <v>0</v>
      </c>
    </row>
    <row r="34" spans="2:7" ht="12.9" customHeight="1">
      <c r="B34" s="195">
        <v>4</v>
      </c>
      <c r="C34" s="84"/>
      <c r="D34" s="84"/>
      <c r="E34" s="83"/>
      <c r="F34" s="67"/>
      <c r="G34" s="199">
        <f t="shared" si="2"/>
        <v>0</v>
      </c>
    </row>
    <row r="35" spans="2:7" ht="12.9" customHeight="1">
      <c r="B35" s="195">
        <v>5</v>
      </c>
      <c r="C35" s="82"/>
      <c r="D35" s="84"/>
      <c r="E35" s="83"/>
      <c r="F35" s="67"/>
      <c r="G35" s="77">
        <f t="shared" si="2"/>
        <v>0</v>
      </c>
    </row>
    <row r="36" spans="2:7" ht="12.9" customHeight="1">
      <c r="B36" s="195">
        <v>6</v>
      </c>
      <c r="C36" s="84"/>
      <c r="D36" s="84"/>
      <c r="E36" s="83"/>
      <c r="F36" s="67"/>
      <c r="G36" s="77">
        <f t="shared" si="2"/>
        <v>0</v>
      </c>
    </row>
    <row r="37" spans="2:7" ht="12.9" customHeight="1">
      <c r="B37" s="194">
        <v>7</v>
      </c>
      <c r="C37" s="82"/>
      <c r="D37" s="82"/>
      <c r="E37" s="83"/>
      <c r="F37" s="78"/>
      <c r="G37" s="77">
        <f t="shared" si="2"/>
        <v>0</v>
      </c>
    </row>
    <row r="38" spans="2:7" ht="12.9" customHeight="1">
      <c r="B38" s="195">
        <v>8</v>
      </c>
      <c r="C38" s="84"/>
      <c r="D38" s="84"/>
      <c r="E38" s="83"/>
      <c r="F38" s="68"/>
      <c r="G38" s="77">
        <f t="shared" si="2"/>
        <v>0</v>
      </c>
    </row>
    <row r="39" spans="2:7" ht="12.9" customHeight="1">
      <c r="B39" s="195">
        <v>9</v>
      </c>
      <c r="C39" s="82"/>
      <c r="D39" s="84"/>
      <c r="E39" s="83"/>
      <c r="F39" s="68"/>
      <c r="G39" s="79">
        <f t="shared" si="2"/>
        <v>0</v>
      </c>
    </row>
    <row r="40" spans="2:7" ht="12.9" customHeight="1">
      <c r="B40" s="195">
        <v>10</v>
      </c>
      <c r="C40" s="84"/>
      <c r="D40" s="84"/>
      <c r="E40" s="83"/>
      <c r="F40" s="68"/>
      <c r="G40" s="79">
        <f t="shared" si="2"/>
        <v>0</v>
      </c>
    </row>
    <row r="41" spans="2:7" ht="12.9" customHeight="1">
      <c r="B41" s="195">
        <v>11</v>
      </c>
      <c r="C41" s="82"/>
      <c r="D41" s="84"/>
      <c r="E41" s="83"/>
      <c r="F41" s="68"/>
      <c r="G41" s="79">
        <f t="shared" si="2"/>
        <v>0</v>
      </c>
    </row>
    <row r="42" spans="2:7" ht="12.9" customHeight="1" thickBot="1">
      <c r="B42" s="196">
        <v>12</v>
      </c>
      <c r="C42" s="87"/>
      <c r="D42" s="87"/>
      <c r="E42" s="88"/>
      <c r="F42" s="69"/>
      <c r="G42" s="80">
        <f t="shared" si="2"/>
        <v>0</v>
      </c>
    </row>
    <row r="43" spans="2:7" ht="12.9" customHeight="1" thickBot="1">
      <c r="G43" s="76"/>
    </row>
    <row r="44" spans="2:7" ht="12.9" customHeight="1">
      <c r="B44" s="197">
        <v>1</v>
      </c>
      <c r="C44" s="85"/>
      <c r="D44" s="85"/>
      <c r="E44" s="86"/>
      <c r="F44" s="66"/>
      <c r="G44" s="202">
        <f t="shared" si="2"/>
        <v>0</v>
      </c>
    </row>
    <row r="45" spans="2:7" ht="12.9" customHeight="1">
      <c r="B45" s="195">
        <v>2</v>
      </c>
      <c r="C45" s="84"/>
      <c r="D45" s="84"/>
      <c r="E45" s="83"/>
      <c r="F45" s="67"/>
      <c r="G45" s="199">
        <f t="shared" si="2"/>
        <v>0</v>
      </c>
    </row>
    <row r="46" spans="2:7" ht="12.9" customHeight="1">
      <c r="B46" s="195">
        <v>3</v>
      </c>
      <c r="C46" s="82"/>
      <c r="D46" s="84"/>
      <c r="E46" s="83"/>
      <c r="F46" s="67"/>
      <c r="G46" s="199">
        <f t="shared" si="2"/>
        <v>0</v>
      </c>
    </row>
    <row r="47" spans="2:7" ht="12.9" customHeight="1">
      <c r="B47" s="195">
        <v>4</v>
      </c>
      <c r="C47" s="84"/>
      <c r="D47" s="84"/>
      <c r="E47" s="83"/>
      <c r="F47" s="67"/>
      <c r="G47" s="199">
        <f t="shared" si="2"/>
        <v>0</v>
      </c>
    </row>
    <row r="48" spans="2:7" ht="12.9" customHeight="1">
      <c r="B48" s="195">
        <v>5</v>
      </c>
      <c r="C48" s="82"/>
      <c r="D48" s="84"/>
      <c r="E48" s="83"/>
      <c r="F48" s="67"/>
      <c r="G48" s="77">
        <f t="shared" si="2"/>
        <v>0</v>
      </c>
    </row>
    <row r="49" spans="2:7" ht="12.9" customHeight="1">
      <c r="B49" s="195">
        <v>6</v>
      </c>
      <c r="C49" s="84"/>
      <c r="D49" s="84"/>
      <c r="E49" s="83"/>
      <c r="F49" s="67"/>
      <c r="G49" s="77">
        <f t="shared" si="2"/>
        <v>0</v>
      </c>
    </row>
    <row r="50" spans="2:7" ht="12.9" customHeight="1">
      <c r="B50" s="194">
        <v>7</v>
      </c>
      <c r="C50" s="82"/>
      <c r="D50" s="82"/>
      <c r="E50" s="83"/>
      <c r="F50" s="78"/>
      <c r="G50" s="77">
        <f t="shared" si="2"/>
        <v>0</v>
      </c>
    </row>
    <row r="51" spans="2:7" ht="12.9" customHeight="1">
      <c r="B51" s="195">
        <v>8</v>
      </c>
      <c r="C51" s="84"/>
      <c r="D51" s="84"/>
      <c r="E51" s="83"/>
      <c r="F51" s="68"/>
      <c r="G51" s="77">
        <f t="shared" si="2"/>
        <v>0</v>
      </c>
    </row>
    <row r="52" spans="2:7" ht="12.9" customHeight="1">
      <c r="B52" s="195">
        <v>9</v>
      </c>
      <c r="C52" s="82"/>
      <c r="D52" s="84"/>
      <c r="E52" s="83"/>
      <c r="F52" s="68"/>
      <c r="G52" s="79">
        <f t="shared" si="2"/>
        <v>0</v>
      </c>
    </row>
    <row r="53" spans="2:7" ht="12.9" customHeight="1">
      <c r="B53" s="195">
        <v>10</v>
      </c>
      <c r="C53" s="84"/>
      <c r="D53" s="84"/>
      <c r="E53" s="83"/>
      <c r="F53" s="68"/>
      <c r="G53" s="79">
        <f t="shared" si="2"/>
        <v>0</v>
      </c>
    </row>
    <row r="54" spans="2:7" ht="12.9" customHeight="1">
      <c r="B54" s="195">
        <v>11</v>
      </c>
      <c r="C54" s="82"/>
      <c r="D54" s="84"/>
      <c r="E54" s="83"/>
      <c r="F54" s="68"/>
      <c r="G54" s="79">
        <f t="shared" si="2"/>
        <v>0</v>
      </c>
    </row>
    <row r="55" spans="2:7" ht="12.9" customHeight="1" thickBot="1">
      <c r="B55" s="196">
        <v>12</v>
      </c>
      <c r="C55" s="87"/>
      <c r="D55" s="87"/>
      <c r="E55" s="88"/>
      <c r="F55" s="69"/>
      <c r="G55" s="80">
        <f t="shared" si="2"/>
        <v>0</v>
      </c>
    </row>
    <row r="56" spans="2:7" ht="12.9" customHeight="1">
      <c r="E56" s="305" t="s">
        <v>7</v>
      </c>
      <c r="F56" s="306"/>
      <c r="G56" s="119">
        <f>SUM(G5:G8,G18:G21,G31:G34,G44:G47)</f>
        <v>0</v>
      </c>
    </row>
    <row r="57" spans="2:7" ht="12.9" customHeight="1" thickBot="1">
      <c r="E57" s="307" t="s">
        <v>8</v>
      </c>
      <c r="F57" s="308"/>
      <c r="G57" s="120">
        <f>SUM(G9:G12,G22:G25,G35:G38,G48:G51)</f>
        <v>0</v>
      </c>
    </row>
    <row r="58" spans="2:7" ht="12.9" customHeight="1" thickBot="1">
      <c r="E58" s="292" t="s">
        <v>9</v>
      </c>
      <c r="F58" s="293"/>
      <c r="G58" s="121">
        <f>SUM(G13:G16,G26:G29,G39:G42,G52:G55)</f>
        <v>0</v>
      </c>
    </row>
    <row r="59" spans="2:7" ht="12.9" customHeight="1"/>
    <row r="60" spans="2:7" ht="12.9" customHeight="1"/>
  </sheetData>
  <mergeCells count="7">
    <mergeCell ref="E57:F57"/>
    <mergeCell ref="E58:F58"/>
    <mergeCell ref="B1:C1"/>
    <mergeCell ref="B2:C2"/>
    <mergeCell ref="D1:E1"/>
    <mergeCell ref="D2:E2"/>
    <mergeCell ref="E56:F56"/>
  </mergeCells>
  <conditionalFormatting sqref="D1:E1">
    <cfRule type="cellIs" dxfId="120" priority="1" operator="equal">
      <formula>0</formula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EF77D1-3E15-9B42-8C83-AC6E9ABC5D58}">
          <x14:formula1>
            <xm:f>Fixtures!$H$6:$H$40</xm:f>
          </x14:formula1>
          <xm:sqref>D5:D16 D18:D29 D31:D42 D44:D55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B087-751E-C244-83C5-BBD7E71D57CB}">
  <dimension ref="A1:U46"/>
  <sheetViews>
    <sheetView tabSelected="1" view="pageBreakPreview" topLeftCell="A22" zoomScale="60" zoomScaleNormal="70" zoomScalePageLayoutView="60" workbookViewId="0">
      <selection activeCell="R28" sqref="R28"/>
    </sheetView>
  </sheetViews>
  <sheetFormatPr defaultColWidth="0" defaultRowHeight="15.6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1'!B7</f>
        <v/>
      </c>
      <c r="D1" s="394"/>
      <c r="E1" s="394"/>
      <c r="F1" s="394"/>
      <c r="G1" s="394"/>
      <c r="H1" s="395"/>
      <c r="I1" s="374" t="str">
        <f>'Rack 1'!B14</f>
        <v/>
      </c>
      <c r="J1" s="375"/>
      <c r="K1" s="375"/>
      <c r="L1" s="375"/>
      <c r="M1" s="375"/>
      <c r="N1" s="376"/>
      <c r="O1" s="374" t="str">
        <f>'Rack 1'!B21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1'!E6</f>
        <v/>
      </c>
      <c r="D3" s="51" t="str">
        <f>'Rack 1'!E7</f>
        <v/>
      </c>
      <c r="E3" s="51" t="str">
        <f>'Rack 1'!E8</f>
        <v/>
      </c>
      <c r="F3" s="51" t="str">
        <f>'Rack 1'!E9</f>
        <v/>
      </c>
      <c r="G3" s="51" t="str">
        <f>'Rack 1'!E10</f>
        <v/>
      </c>
      <c r="H3" s="55" t="str">
        <f>'Rack 1'!E11</f>
        <v/>
      </c>
      <c r="I3" s="50" t="str">
        <f>'Rack 1'!E13</f>
        <v/>
      </c>
      <c r="J3" s="51" t="str">
        <f>'Rack 1'!E14</f>
        <v/>
      </c>
      <c r="K3" s="51" t="str">
        <f>'Rack 1'!E15</f>
        <v/>
      </c>
      <c r="L3" s="51" t="str">
        <f>'Rack 1'!E16</f>
        <v/>
      </c>
      <c r="M3" s="51" t="str">
        <f>'Rack 1'!E17</f>
        <v/>
      </c>
      <c r="N3" s="55" t="str">
        <f>'Rack 1'!E18</f>
        <v/>
      </c>
      <c r="O3" s="50" t="str">
        <f>'Rack 1'!E20</f>
        <v/>
      </c>
      <c r="P3" s="51" t="str">
        <f>'Rack 1'!E21</f>
        <v/>
      </c>
      <c r="Q3" s="51" t="str">
        <f>'Rack 1'!E22</f>
        <v/>
      </c>
      <c r="R3" s="51" t="str">
        <f>'Rack 1'!E23</f>
        <v/>
      </c>
      <c r="S3" s="51" t="str">
        <f>'Rack 1'!E24</f>
        <v/>
      </c>
      <c r="T3" s="56" t="str">
        <f>'Rack 1'!E25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1'!F6</f>
        <v/>
      </c>
      <c r="D5" s="53" t="str">
        <f>'Rack 1'!F7</f>
        <v/>
      </c>
      <c r="E5" s="53" t="str">
        <f>'Rack 1'!F8</f>
        <v/>
      </c>
      <c r="F5" s="53" t="str">
        <f>'Rack 1'!F9</f>
        <v/>
      </c>
      <c r="G5" s="53" t="str">
        <f>'Rack 1'!F10</f>
        <v/>
      </c>
      <c r="H5" s="54" t="str">
        <f>'Rack 1'!F11</f>
        <v/>
      </c>
      <c r="I5" s="52" t="str">
        <f>'Rack 1'!F13</f>
        <v/>
      </c>
      <c r="J5" s="53" t="str">
        <f>'Rack 1'!F14</f>
        <v/>
      </c>
      <c r="K5" s="53" t="str">
        <f>'Rack 1'!F15</f>
        <v/>
      </c>
      <c r="L5" s="53" t="str">
        <f>'Rack 1'!F16</f>
        <v/>
      </c>
      <c r="M5" s="53" t="str">
        <f>'Rack 1'!F17</f>
        <v/>
      </c>
      <c r="N5" s="54" t="str">
        <f>'Rack 1'!F18</f>
        <v/>
      </c>
      <c r="O5" s="52" t="str">
        <f>'Rack 1'!F20</f>
        <v/>
      </c>
      <c r="P5" s="53" t="str">
        <f>'Rack 1'!F21</f>
        <v/>
      </c>
      <c r="Q5" s="53" t="str">
        <f>'Rack 1'!F22</f>
        <v/>
      </c>
      <c r="R5" s="53" t="str">
        <f>'Rack 1'!F23</f>
        <v/>
      </c>
      <c r="S5" s="53" t="str">
        <f>'Rack 1'!F24</f>
        <v/>
      </c>
      <c r="T5" s="57" t="str">
        <f>'Rack 1'!F25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1'!B28</f>
        <v/>
      </c>
      <c r="D6" s="375"/>
      <c r="E6" s="375"/>
      <c r="F6" s="375"/>
      <c r="G6" s="375"/>
      <c r="H6" s="376"/>
      <c r="I6" s="374" t="str">
        <f>'Rack 1'!B35</f>
        <v/>
      </c>
      <c r="J6" s="375"/>
      <c r="K6" s="375"/>
      <c r="L6" s="375"/>
      <c r="M6" s="375"/>
      <c r="N6" s="376"/>
      <c r="O6" s="374" t="str">
        <f>'Rack 1'!B42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1'!E27</f>
        <v/>
      </c>
      <c r="D8" s="51" t="str">
        <f>'Rack 1'!E28</f>
        <v/>
      </c>
      <c r="E8" s="51" t="str">
        <f>'Rack 1'!E29</f>
        <v/>
      </c>
      <c r="F8" s="51" t="str">
        <f>'Rack 1'!E30</f>
        <v/>
      </c>
      <c r="G8" s="51" t="str">
        <f>'Rack 1'!E31</f>
        <v/>
      </c>
      <c r="H8" s="55" t="str">
        <f>'Rack 1'!E32</f>
        <v/>
      </c>
      <c r="I8" s="50" t="str">
        <f>'Rack 1'!E34</f>
        <v/>
      </c>
      <c r="J8" s="51" t="str">
        <f>'Rack 1'!E35</f>
        <v/>
      </c>
      <c r="K8" s="51" t="str">
        <f>'Rack 1'!E36</f>
        <v/>
      </c>
      <c r="L8" s="51" t="str">
        <f>'Rack 1'!E37</f>
        <v/>
      </c>
      <c r="M8" s="51" t="str">
        <f>'Rack 1'!E38</f>
        <v/>
      </c>
      <c r="N8" s="55" t="str">
        <f>'Rack 1'!E39</f>
        <v/>
      </c>
      <c r="O8" s="50" t="str">
        <f>'Rack 1'!E41</f>
        <v/>
      </c>
      <c r="P8" s="51" t="str">
        <f>'Rack 1'!E42</f>
        <v/>
      </c>
      <c r="Q8" s="51" t="str">
        <f>'Rack 1'!E43</f>
        <v/>
      </c>
      <c r="R8" s="51" t="str">
        <f>'Rack 1'!E44</f>
        <v/>
      </c>
      <c r="S8" s="51" t="str">
        <f>'Rack 1'!E45</f>
        <v/>
      </c>
      <c r="T8" s="56" t="str">
        <f>'Rack 1'!E46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1'!F27</f>
        <v/>
      </c>
      <c r="D10" s="53" t="str">
        <f>'Rack 1'!F28</f>
        <v/>
      </c>
      <c r="E10" s="53" t="str">
        <f>'Rack 1'!F29</f>
        <v/>
      </c>
      <c r="F10" s="53" t="str">
        <f>'Rack 1'!F30</f>
        <v/>
      </c>
      <c r="G10" s="53" t="str">
        <f>'Rack 1'!F31</f>
        <v/>
      </c>
      <c r="H10" s="54" t="str">
        <f>'Rack 1'!F32</f>
        <v/>
      </c>
      <c r="I10" s="52" t="str">
        <f>'Rack 1'!F34</f>
        <v/>
      </c>
      <c r="J10" s="53" t="str">
        <f>'Rack 1'!F35</f>
        <v/>
      </c>
      <c r="K10" s="53" t="str">
        <f>'Rack 1'!F36</f>
        <v/>
      </c>
      <c r="L10" s="53" t="str">
        <f>'Rack 1'!F37</f>
        <v/>
      </c>
      <c r="M10" s="53" t="str">
        <f>'Rack 1'!F38</f>
        <v/>
      </c>
      <c r="N10" s="54" t="str">
        <f>'Rack 1'!F39</f>
        <v/>
      </c>
      <c r="O10" s="58" t="str">
        <f>'Rack 1'!F41</f>
        <v/>
      </c>
      <c r="P10" s="48" t="str">
        <f>'Rack 1'!F42</f>
        <v/>
      </c>
      <c r="Q10" s="48" t="str">
        <f>'Rack 1'!F43</f>
        <v/>
      </c>
      <c r="R10" s="48" t="str">
        <f>'Rack 1'!F44</f>
        <v/>
      </c>
      <c r="S10" s="48" t="str">
        <f>'Rack 1'!F45</f>
        <v/>
      </c>
      <c r="T10" s="59" t="str">
        <f>'Rack 1'!F46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1'!B49</f>
        <v/>
      </c>
      <c r="D11" s="400"/>
      <c r="E11" s="400"/>
      <c r="F11" s="400"/>
      <c r="G11" s="400"/>
      <c r="H11" s="400"/>
      <c r="I11" s="401" t="str">
        <f>'Rack 1'!B56</f>
        <v/>
      </c>
      <c r="J11" s="402"/>
      <c r="K11" s="402"/>
      <c r="L11" s="402"/>
      <c r="M11" s="402"/>
      <c r="N11" s="402"/>
      <c r="O11" s="374" t="str">
        <f>'Rack 1'!B70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1'!E48</f>
        <v/>
      </c>
      <c r="D13" s="51" t="str">
        <f>'Rack 1'!E49</f>
        <v/>
      </c>
      <c r="E13" s="51" t="str">
        <f>'Rack 1'!E50</f>
        <v/>
      </c>
      <c r="F13" s="51" t="str">
        <f>'Rack 1'!E51</f>
        <v/>
      </c>
      <c r="G13" s="51" t="str">
        <f>'Rack 1'!E52</f>
        <v/>
      </c>
      <c r="H13" s="55" t="str">
        <f>'Rack 1'!E53</f>
        <v/>
      </c>
      <c r="I13" s="50" t="str">
        <f>'Rack 1'!E55</f>
        <v/>
      </c>
      <c r="J13" s="51" t="str">
        <f>'Rack 1'!E56</f>
        <v/>
      </c>
      <c r="K13" s="51" t="str">
        <f>'Rack 1'!E57</f>
        <v/>
      </c>
      <c r="L13" s="51" t="str">
        <f>'Rack 1'!E58</f>
        <v/>
      </c>
      <c r="M13" s="51" t="str">
        <f>'Rack 1'!E59</f>
        <v/>
      </c>
      <c r="N13" s="55" t="str">
        <f>'Rack 1'!E60</f>
        <v/>
      </c>
      <c r="O13" s="50" t="str">
        <f>'Rack 1'!E69</f>
        <v/>
      </c>
      <c r="P13" s="51" t="str">
        <f>'Rack 1'!E70</f>
        <v/>
      </c>
      <c r="Q13" s="51" t="str">
        <f>'Rack 1'!E71</f>
        <v/>
      </c>
      <c r="R13" s="51" t="str">
        <f>'Rack 1'!E72</f>
        <v/>
      </c>
      <c r="S13" s="51" t="str">
        <f>'Rack 1'!E73</f>
        <v/>
      </c>
      <c r="T13" s="56" t="str">
        <f>'Rack 1'!E74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1'!F48</f>
        <v/>
      </c>
      <c r="D16" s="53" t="str">
        <f>'Rack 1'!F49</f>
        <v/>
      </c>
      <c r="E16" s="53" t="str">
        <f>'Rack 1'!F50</f>
        <v/>
      </c>
      <c r="F16" s="53" t="str">
        <f>'Rack 1'!F51</f>
        <v/>
      </c>
      <c r="G16" s="53" t="str">
        <f>'Rack 1'!F52</f>
        <v/>
      </c>
      <c r="H16" s="54" t="str">
        <f>'Rack 1'!F53</f>
        <v/>
      </c>
      <c r="I16" s="52" t="str">
        <f>'Rack 1'!F55</f>
        <v/>
      </c>
      <c r="J16" s="53" t="str">
        <f>'Rack 1'!F56</f>
        <v/>
      </c>
      <c r="K16" s="53" t="str">
        <f>'Rack 1'!F57</f>
        <v/>
      </c>
      <c r="L16" s="53" t="str">
        <f>'Rack 1'!F58</f>
        <v/>
      </c>
      <c r="M16" s="53" t="str">
        <f>'Rack 1'!F59</f>
        <v/>
      </c>
      <c r="N16" s="54" t="str">
        <f>'Rack 1'!F60</f>
        <v/>
      </c>
      <c r="O16" s="52" t="str">
        <f>'Rack 1'!F69</f>
        <v/>
      </c>
      <c r="P16" s="53" t="str">
        <f>'Rack 1'!F70</f>
        <v/>
      </c>
      <c r="Q16" s="53" t="str">
        <f>'Rack 1'!F71</f>
        <v/>
      </c>
      <c r="R16" s="53" t="str">
        <f>'Rack 1'!F72</f>
        <v/>
      </c>
      <c r="S16" s="53" t="str">
        <f>'Rack 1'!F73</f>
        <v/>
      </c>
      <c r="T16" s="57" t="str">
        <f>'Rack 1'!F74</f>
        <v/>
      </c>
      <c r="U16" s="34"/>
    </row>
    <row r="17" spans="1:21" ht="33.9" customHeight="1" thickTop="1">
      <c r="A17" s="16"/>
      <c r="B17" s="341" t="s">
        <v>47</v>
      </c>
      <c r="C17" s="342" t="str">
        <f>'Rack 1'!B77</f>
        <v/>
      </c>
      <c r="D17" s="343"/>
      <c r="E17" s="343"/>
      <c r="F17" s="343"/>
      <c r="G17" s="343"/>
      <c r="H17" s="343"/>
      <c r="I17" s="342" t="str">
        <f>'Rack 1'!B84</f>
        <v/>
      </c>
      <c r="J17" s="343"/>
      <c r="K17" s="343"/>
      <c r="L17" s="343"/>
      <c r="M17" s="343"/>
      <c r="N17" s="343"/>
      <c r="O17" s="342" t="str">
        <f>'Rack 1'!B91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1'!E76</f>
        <v/>
      </c>
      <c r="D19" s="51" t="str">
        <f>'Rack 1'!E77</f>
        <v/>
      </c>
      <c r="E19" s="51" t="str">
        <f>'Rack 1'!E78</f>
        <v/>
      </c>
      <c r="F19" s="51" t="str">
        <f>'Rack 1'!E79</f>
        <v/>
      </c>
      <c r="G19" s="51" t="str">
        <f>'Rack 1'!E80</f>
        <v/>
      </c>
      <c r="H19" s="55" t="str">
        <f>'Rack 1'!E81</f>
        <v/>
      </c>
      <c r="I19" s="50" t="str">
        <f>'Rack 1'!E83</f>
        <v/>
      </c>
      <c r="J19" s="51" t="str">
        <f>'Rack 1'!E84</f>
        <v/>
      </c>
      <c r="K19" s="51" t="str">
        <f>'Rack 1'!E85</f>
        <v/>
      </c>
      <c r="L19" s="51" t="str">
        <f>'Rack 1'!E86</f>
        <v/>
      </c>
      <c r="M19" s="51" t="str">
        <f>'Rack 1'!E87</f>
        <v/>
      </c>
      <c r="N19" s="55" t="str">
        <f>'Rack 1'!E88</f>
        <v/>
      </c>
      <c r="O19" s="50" t="str">
        <f>'Rack 1'!E90</f>
        <v/>
      </c>
      <c r="P19" s="51" t="str">
        <f>'Rack 1'!E91</f>
        <v/>
      </c>
      <c r="Q19" s="51" t="str">
        <f>'Rack 1'!E92</f>
        <v/>
      </c>
      <c r="R19" s="51" t="str">
        <f>'Rack 1'!E93</f>
        <v/>
      </c>
      <c r="S19" s="51" t="str">
        <f>'Rack 1'!E94</f>
        <v/>
      </c>
      <c r="T19" s="56" t="str">
        <f>'Rack 1'!E95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1'!F76</f>
        <v/>
      </c>
      <c r="D21" s="53" t="str">
        <f>'Rack 1'!F77</f>
        <v/>
      </c>
      <c r="E21" s="53" t="str">
        <f>'Rack 1'!F78</f>
        <v/>
      </c>
      <c r="F21" s="53" t="str">
        <f>'Rack 1'!F79</f>
        <v/>
      </c>
      <c r="G21" s="53" t="str">
        <f>'Rack 1'!F80</f>
        <v/>
      </c>
      <c r="H21" s="54" t="str">
        <f>'Rack 1'!F81</f>
        <v/>
      </c>
      <c r="I21" s="52" t="str">
        <f>'Rack 1'!F83</f>
        <v/>
      </c>
      <c r="J21" s="53" t="str">
        <f>'Rack 1'!F84</f>
        <v/>
      </c>
      <c r="K21" s="53" t="str">
        <f>'Rack 1'!F85</f>
        <v/>
      </c>
      <c r="L21" s="53" t="str">
        <f>'Rack 1'!F86</f>
        <v/>
      </c>
      <c r="M21" s="53" t="str">
        <f>'Rack 1'!F87</f>
        <v/>
      </c>
      <c r="N21" s="54" t="str">
        <f>'Rack 1'!F88</f>
        <v/>
      </c>
      <c r="O21" s="52" t="str">
        <f>'Rack 1'!F90</f>
        <v/>
      </c>
      <c r="P21" s="53" t="str">
        <f>'Rack 1'!F91</f>
        <v/>
      </c>
      <c r="Q21" s="53" t="str">
        <f>'Rack 1'!F92</f>
        <v/>
      </c>
      <c r="R21" s="53" t="str">
        <f>'Rack 1'!F93</f>
        <v/>
      </c>
      <c r="S21" s="53" t="str">
        <f>'Rack 1'!F94</f>
        <v/>
      </c>
      <c r="T21" s="57" t="str">
        <f>'Rack 1'!F95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1'!B98</f>
        <v/>
      </c>
      <c r="D22" s="349"/>
      <c r="E22" s="349"/>
      <c r="F22" s="349"/>
      <c r="G22" s="349"/>
      <c r="H22" s="349"/>
      <c r="I22" s="348" t="str">
        <f>'Rack 1'!B105</f>
        <v/>
      </c>
      <c r="J22" s="349"/>
      <c r="K22" s="349"/>
      <c r="L22" s="349"/>
      <c r="M22" s="349"/>
      <c r="N22" s="349"/>
      <c r="O22" s="348" t="str">
        <f>'Rack 1'!B112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1'!E97</f>
        <v/>
      </c>
      <c r="D24" s="61" t="str">
        <f>'Rack 1'!E98</f>
        <v/>
      </c>
      <c r="E24" s="61" t="str">
        <f>'Rack 1'!E99</f>
        <v/>
      </c>
      <c r="F24" s="61" t="str">
        <f>'Rack 1'!E100</f>
        <v/>
      </c>
      <c r="G24" s="61" t="str">
        <f>'Rack 1'!E101</f>
        <v/>
      </c>
      <c r="H24" s="62" t="str">
        <f>'Rack 1'!E102</f>
        <v/>
      </c>
      <c r="I24" s="60" t="str">
        <f>'Rack 1'!E104</f>
        <v/>
      </c>
      <c r="J24" s="61" t="str">
        <f>'Rack 1'!E105</f>
        <v/>
      </c>
      <c r="K24" s="61" t="str">
        <f>'Rack 1'!E106</f>
        <v/>
      </c>
      <c r="L24" s="61" t="str">
        <f>'Rack 1'!E107</f>
        <v/>
      </c>
      <c r="M24" s="61" t="str">
        <f>'Rack 1'!E108</f>
        <v/>
      </c>
      <c r="N24" s="62" t="str">
        <f>'Rack 1'!E109</f>
        <v/>
      </c>
      <c r="O24" s="60" t="str">
        <f>'Rack 1'!E111</f>
        <v/>
      </c>
      <c r="P24" s="61" t="str">
        <f>'Rack 1'!E112</f>
        <v/>
      </c>
      <c r="Q24" s="61" t="str">
        <f>'Rack 1'!E113</f>
        <v/>
      </c>
      <c r="R24" s="61" t="str">
        <f>'Rack 1'!E114</f>
        <v/>
      </c>
      <c r="S24" s="61" t="str">
        <f>'Rack 1'!E115</f>
        <v/>
      </c>
      <c r="T24" s="63" t="str">
        <f>'Rack 1'!E116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1'!F97</f>
        <v/>
      </c>
      <c r="D26" s="53" t="str">
        <f>'Rack 1'!F98</f>
        <v/>
      </c>
      <c r="E26" s="53" t="str">
        <f>'Rack 1'!F99</f>
        <v/>
      </c>
      <c r="F26" s="53" t="str">
        <f>'Rack 1'!F100</f>
        <v/>
      </c>
      <c r="G26" s="53" t="str">
        <f>'Rack 1'!F101</f>
        <v/>
      </c>
      <c r="H26" s="54" t="str">
        <f>'Rack 1'!F102</f>
        <v/>
      </c>
      <c r="I26" s="52" t="str">
        <f>'Rack 1'!F104</f>
        <v/>
      </c>
      <c r="J26" s="53" t="str">
        <f>'Rack 1'!F105</f>
        <v/>
      </c>
      <c r="K26" s="53" t="str">
        <f>'Rack 1'!F106</f>
        <v/>
      </c>
      <c r="L26" s="53" t="str">
        <f>'Rack 1'!F107</f>
        <v/>
      </c>
      <c r="M26" s="53" t="str">
        <f>'Rack 1'!F108</f>
        <v/>
      </c>
      <c r="N26" s="54" t="str">
        <f>'Rack 1'!F109</f>
        <v/>
      </c>
      <c r="O26" s="52" t="str">
        <f>'Rack 1'!F111</f>
        <v/>
      </c>
      <c r="P26" s="53" t="str">
        <f>'Rack 1'!F112</f>
        <v/>
      </c>
      <c r="Q26" s="53" t="str">
        <f>'Rack 1'!F113</f>
        <v/>
      </c>
      <c r="R26" s="53" t="str">
        <f>'Rack 1'!F114</f>
        <v/>
      </c>
      <c r="S26" s="53" t="str">
        <f>'Rack 1'!F115</f>
        <v/>
      </c>
      <c r="T26" s="57" t="str">
        <f>'Rack 1'!F116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1'!B119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1'!E118</f>
        <v/>
      </c>
      <c r="D30" s="61" t="str">
        <f>'Rack 1'!E119</f>
        <v/>
      </c>
      <c r="E30" s="61" t="str">
        <f>'Rack 1'!E120</f>
        <v/>
      </c>
      <c r="F30" s="61" t="str">
        <f>'Rack 1'!E121</f>
        <v/>
      </c>
      <c r="G30" s="61" t="str">
        <f>'Rack 1'!E122</f>
        <v/>
      </c>
      <c r="H30" s="226" t="str">
        <f>'Rack 1'!E123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1'!F118</f>
        <v/>
      </c>
      <c r="D32" s="53" t="str">
        <f>'Rack 1'!F119</f>
        <v/>
      </c>
      <c r="E32" s="53" t="str">
        <f>'Rack 1'!F120</f>
        <v/>
      </c>
      <c r="F32" s="53" t="str">
        <f>'Rack 1'!F121</f>
        <v/>
      </c>
      <c r="G32" s="53" t="str">
        <f>'Rack 1'!F122</f>
        <v/>
      </c>
      <c r="H32" s="54" t="str">
        <f>'Rack 1'!F123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1:B2"/>
    <mergeCell ref="C1:H2"/>
    <mergeCell ref="I1:N2"/>
    <mergeCell ref="B11:B12"/>
    <mergeCell ref="C11:H12"/>
    <mergeCell ref="I11:N12"/>
    <mergeCell ref="B22:B23"/>
    <mergeCell ref="C22:H23"/>
    <mergeCell ref="I22:N23"/>
    <mergeCell ref="B36:D37"/>
    <mergeCell ref="E36:I37"/>
    <mergeCell ref="J36:N37"/>
    <mergeCell ref="O1:T2"/>
    <mergeCell ref="C6:H7"/>
    <mergeCell ref="I6:N7"/>
    <mergeCell ref="O6:T7"/>
    <mergeCell ref="O11:T12"/>
    <mergeCell ref="B40:D41"/>
    <mergeCell ref="E40:I41"/>
    <mergeCell ref="J40:N41"/>
    <mergeCell ref="B28:B29"/>
    <mergeCell ref="C28:H29"/>
    <mergeCell ref="B34:D35"/>
    <mergeCell ref="E34:I35"/>
    <mergeCell ref="J34:N35"/>
    <mergeCell ref="B6:B7"/>
    <mergeCell ref="L29:Q30"/>
    <mergeCell ref="B38:D39"/>
    <mergeCell ref="E38:I39"/>
    <mergeCell ref="J38:N39"/>
    <mergeCell ref="B17:B18"/>
    <mergeCell ref="C17:H18"/>
    <mergeCell ref="I17:N18"/>
    <mergeCell ref="O17:T18"/>
    <mergeCell ref="O22:T23"/>
  </mergeCells>
  <conditionalFormatting sqref="C1 I1 O1 C6 I6 O6 C11 I11 O11 C17 I17 O17 C22 I22 O22 C28 B34 E34 J34 B36 E36 J36 B38 E38 J38 B40 E40 J40 B42 E42 J42 B44">
    <cfRule type="expression" dxfId="119" priority="44" stopIfTrue="1">
      <formula>_xlfn.XLOOKUP(B1, ColorLookup_MultiNames,ColorLookup_Colors) = "grey"</formula>
    </cfRule>
    <cfRule type="expression" dxfId="118" priority="45" stopIfTrue="1">
      <formula>_xlfn.XLOOKUP(B1, ColorLookup_MultiNames,ColorLookup_Colors) = "yellow"</formula>
    </cfRule>
    <cfRule type="expression" dxfId="117" priority="46" stopIfTrue="1">
      <formula>_xlfn.XLOOKUP(B1, ColorLookup_MultiNames,ColorLookup_Colors) = "orange"</formula>
    </cfRule>
    <cfRule type="expression" dxfId="116" priority="47" stopIfTrue="1">
      <formula>_xlfn.XLOOKUP(B1, ColorLookup_MultiNames,ColorLookup_Colors) = "brown"</formula>
    </cfRule>
    <cfRule type="expression" dxfId="115" priority="48" stopIfTrue="1">
      <formula>_xlfn.XLOOKUP(B1, ColorLookup_MultiNames,ColorLookup_Colors) = "green"</formula>
    </cfRule>
    <cfRule type="expression" dxfId="114" priority="49" stopIfTrue="1">
      <formula>_xlfn.XLOOKUP(B1, ColorLookup_MultiNames,ColorLookup_Colors) = "red"</formula>
    </cfRule>
    <cfRule type="expression" dxfId="113" priority="51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112" priority="43" stopIfTrue="1">
      <formula>_xlfn.XLOOKUP(B1, ColorLookup_MultiNames,ColorLookup_Colors) = "purple"</formula>
    </cfRule>
  </conditionalFormatting>
  <conditionalFormatting sqref="C5:T8">
    <cfRule type="cellIs" dxfId="111" priority="2" operator="equal">
      <formula>0</formula>
    </cfRule>
  </conditionalFormatting>
  <conditionalFormatting sqref="C10:T13 C16:T19 C21:T24 C28:H30 B34:N43 B44:D45 C3:T3">
    <cfRule type="cellIs" dxfId="110" priority="52" operator="equal">
      <formula>0</formula>
    </cfRule>
  </conditionalFormatting>
  <conditionalFormatting sqref="C26:T26 C32:H32">
    <cfRule type="cellIs" dxfId="109" priority="53" operator="equal">
      <formula>0</formula>
    </cfRule>
  </conditionalFormatting>
  <conditionalFormatting sqref="I1:T2">
    <cfRule type="cellIs" dxfId="108" priority="1" operator="equal">
      <formula>0</formula>
    </cfRule>
  </conditionalFormatting>
  <pageMargins left="0.3298611111111111" right="0.46875" top="0.90277777777777779" bottom="0.75" header="0.3" footer="0.3"/>
  <pageSetup paperSize="8" scale="85" orientation="landscape" r:id="rId1"/>
  <headerFooter>
    <oddHeader>&amp;L&amp;"System Font,Regular"&amp;10&amp;K000000&amp;F
&amp;C96 way 1&amp;R&amp;D</oddHeader>
  </headerFooter>
  <rowBreaks count="2" manualBreakCount="2">
    <brk id="13" max="20" man="1"/>
    <brk id="27" max="16383" man="1"/>
  </rowBreaks>
  <ignoredErrors>
    <ignoredError sqref="C1" unlocked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AE74-EAC3-4180-8F7A-1299405F7101}">
  <dimension ref="A1:U46"/>
  <sheetViews>
    <sheetView tabSelected="1" view="pageBreakPreview" zoomScale="60" zoomScaleNormal="70" zoomScalePageLayoutView="60" workbookViewId="0">
      <selection activeCell="R28" sqref="R28"/>
    </sheetView>
  </sheetViews>
  <sheetFormatPr defaultColWidth="0" defaultRowHeight="15.6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2'!B7</f>
        <v/>
      </c>
      <c r="D1" s="394"/>
      <c r="E1" s="394"/>
      <c r="F1" s="394"/>
      <c r="G1" s="394"/>
      <c r="H1" s="395"/>
      <c r="I1" s="374" t="str">
        <f>'Rack 2'!B14</f>
        <v/>
      </c>
      <c r="J1" s="375"/>
      <c r="K1" s="375"/>
      <c r="L1" s="375"/>
      <c r="M1" s="375"/>
      <c r="N1" s="376"/>
      <c r="O1" s="374" t="str">
        <f>'Rack 2'!B21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2'!E6</f>
        <v/>
      </c>
      <c r="D3" s="51" t="str">
        <f>'Rack 2'!E7</f>
        <v/>
      </c>
      <c r="E3" s="51" t="str">
        <f>'Rack 2'!E8</f>
        <v/>
      </c>
      <c r="F3" s="51" t="str">
        <f>'Rack 2'!E9</f>
        <v/>
      </c>
      <c r="G3" s="51" t="str">
        <f>'Rack 2'!E10</f>
        <v/>
      </c>
      <c r="H3" s="55" t="str">
        <f>'Rack 2'!E11</f>
        <v/>
      </c>
      <c r="I3" s="50" t="str">
        <f>'Rack 2'!E13</f>
        <v/>
      </c>
      <c r="J3" s="51" t="str">
        <f>'Rack 2'!E14</f>
        <v/>
      </c>
      <c r="K3" s="51" t="str">
        <f>'Rack 2'!E15</f>
        <v/>
      </c>
      <c r="L3" s="51" t="str">
        <f>'Rack 2'!E16</f>
        <v/>
      </c>
      <c r="M3" s="51" t="str">
        <f>'Rack 2'!E17</f>
        <v/>
      </c>
      <c r="N3" s="55" t="str">
        <f>'Rack 2'!E18</f>
        <v/>
      </c>
      <c r="O3" s="50" t="str">
        <f>'Rack 2'!E20</f>
        <v/>
      </c>
      <c r="P3" s="51" t="str">
        <f>'Rack 2'!E21</f>
        <v/>
      </c>
      <c r="Q3" s="51" t="str">
        <f>'Rack 2'!E22</f>
        <v/>
      </c>
      <c r="R3" s="51" t="str">
        <f>'Rack 2'!E23</f>
        <v/>
      </c>
      <c r="S3" s="51" t="str">
        <f>'Rack 2'!E24</f>
        <v/>
      </c>
      <c r="T3" s="56" t="str">
        <f>'Rack 2'!E25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2'!F6</f>
        <v/>
      </c>
      <c r="D5" s="53" t="str">
        <f>'Rack 2'!F7</f>
        <v/>
      </c>
      <c r="E5" s="53" t="str">
        <f>'Rack 2'!F8</f>
        <v/>
      </c>
      <c r="F5" s="53" t="str">
        <f>'Rack 2'!F9</f>
        <v/>
      </c>
      <c r="G5" s="53" t="str">
        <f>'Rack 2'!F10</f>
        <v/>
      </c>
      <c r="H5" s="54" t="str">
        <f>'Rack 2'!F11</f>
        <v/>
      </c>
      <c r="I5" s="52" t="str">
        <f>'Rack 2'!F13</f>
        <v/>
      </c>
      <c r="J5" s="53" t="str">
        <f>'Rack 2'!F14</f>
        <v/>
      </c>
      <c r="K5" s="53" t="str">
        <f>'Rack 2'!F15</f>
        <v/>
      </c>
      <c r="L5" s="53" t="str">
        <f>'Rack 2'!F16</f>
        <v/>
      </c>
      <c r="M5" s="53" t="str">
        <f>'Rack 2'!F17</f>
        <v/>
      </c>
      <c r="N5" s="54" t="str">
        <f>'Rack 2'!F18</f>
        <v/>
      </c>
      <c r="O5" s="52" t="str">
        <f>'Rack 2'!F20</f>
        <v/>
      </c>
      <c r="P5" s="53" t="str">
        <f>'Rack 2'!F21</f>
        <v/>
      </c>
      <c r="Q5" s="53" t="str">
        <f>'Rack 2'!F22</f>
        <v/>
      </c>
      <c r="R5" s="53" t="str">
        <f>'Rack 2'!F23</f>
        <v/>
      </c>
      <c r="S5" s="53" t="str">
        <f>'Rack 2'!F24</f>
        <v/>
      </c>
      <c r="T5" s="57" t="str">
        <f>'Rack 2'!F25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2'!B28</f>
        <v/>
      </c>
      <c r="D6" s="375"/>
      <c r="E6" s="375"/>
      <c r="F6" s="375"/>
      <c r="G6" s="375"/>
      <c r="H6" s="376"/>
      <c r="I6" s="374" t="str">
        <f>'Rack 2'!B35</f>
        <v/>
      </c>
      <c r="J6" s="375"/>
      <c r="K6" s="375"/>
      <c r="L6" s="375"/>
      <c r="M6" s="375"/>
      <c r="N6" s="376"/>
      <c r="O6" s="374" t="str">
        <f>'Rack 2'!B42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2'!E27</f>
        <v/>
      </c>
      <c r="D8" s="51" t="str">
        <f>'Rack 2'!E28</f>
        <v/>
      </c>
      <c r="E8" s="51" t="str">
        <f>'Rack 2'!E29</f>
        <v/>
      </c>
      <c r="F8" s="51" t="str">
        <f>'Rack 2'!E30</f>
        <v/>
      </c>
      <c r="G8" s="51" t="str">
        <f>'Rack 2'!E31</f>
        <v/>
      </c>
      <c r="H8" s="55" t="str">
        <f>'Rack 2'!E32</f>
        <v/>
      </c>
      <c r="I8" s="50" t="str">
        <f>'Rack 2'!E34</f>
        <v/>
      </c>
      <c r="J8" s="51" t="str">
        <f>'Rack 2'!E35</f>
        <v/>
      </c>
      <c r="K8" s="51" t="str">
        <f>'Rack 2'!E36</f>
        <v/>
      </c>
      <c r="L8" s="51" t="str">
        <f>'Rack 2'!E37</f>
        <v/>
      </c>
      <c r="M8" s="51" t="str">
        <f>'Rack 2'!E38</f>
        <v/>
      </c>
      <c r="N8" s="55" t="str">
        <f>'Rack 2'!E39</f>
        <v/>
      </c>
      <c r="O8" s="50" t="str">
        <f>'Rack 2'!E41</f>
        <v/>
      </c>
      <c r="P8" s="51" t="str">
        <f>'Rack 2'!E42</f>
        <v/>
      </c>
      <c r="Q8" s="51" t="str">
        <f>'Rack 2'!E43</f>
        <v/>
      </c>
      <c r="R8" s="51" t="str">
        <f>'Rack 2'!E44</f>
        <v/>
      </c>
      <c r="S8" s="51" t="str">
        <f>'Rack 2'!E45</f>
        <v/>
      </c>
      <c r="T8" s="56" t="str">
        <f>'Rack 2'!E46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2'!F27</f>
        <v/>
      </c>
      <c r="D10" s="53" t="str">
        <f>'Rack 2'!F28</f>
        <v/>
      </c>
      <c r="E10" s="53" t="str">
        <f>'Rack 2'!F29</f>
        <v/>
      </c>
      <c r="F10" s="53" t="str">
        <f>'Rack 2'!F30</f>
        <v/>
      </c>
      <c r="G10" s="53" t="str">
        <f>'Rack 2'!F31</f>
        <v/>
      </c>
      <c r="H10" s="54" t="str">
        <f>'Rack 2'!F32</f>
        <v/>
      </c>
      <c r="I10" s="52" t="str">
        <f>'Rack 2'!F34</f>
        <v/>
      </c>
      <c r="J10" s="53" t="str">
        <f>'Rack 2'!F35</f>
        <v/>
      </c>
      <c r="K10" s="53" t="str">
        <f>'Rack 2'!F36</f>
        <v/>
      </c>
      <c r="L10" s="53" t="str">
        <f>'Rack 2'!F37</f>
        <v/>
      </c>
      <c r="M10" s="53" t="str">
        <f>'Rack 2'!F38</f>
        <v/>
      </c>
      <c r="N10" s="54" t="str">
        <f>'Rack 2'!F39</f>
        <v/>
      </c>
      <c r="O10" s="58" t="str">
        <f>'Rack 2'!F41</f>
        <v/>
      </c>
      <c r="P10" s="48" t="str">
        <f>'Rack 2'!F42</f>
        <v/>
      </c>
      <c r="Q10" s="48" t="str">
        <f>'Rack 2'!F43</f>
        <v/>
      </c>
      <c r="R10" s="48" t="str">
        <f>'Rack 2'!F44</f>
        <v/>
      </c>
      <c r="S10" s="48" t="str">
        <f>'Rack 2'!F45</f>
        <v/>
      </c>
      <c r="T10" s="59" t="str">
        <f>'Rack 2'!F46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2'!B49</f>
        <v/>
      </c>
      <c r="D11" s="400"/>
      <c r="E11" s="400"/>
      <c r="F11" s="400"/>
      <c r="G11" s="400"/>
      <c r="H11" s="400"/>
      <c r="I11" s="401" t="str">
        <f>'Rack 2'!B56</f>
        <v/>
      </c>
      <c r="J11" s="402"/>
      <c r="K11" s="402"/>
      <c r="L11" s="402"/>
      <c r="M11" s="402"/>
      <c r="N11" s="402"/>
      <c r="O11" s="374" t="str">
        <f>'Rack 2'!B70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2'!E48</f>
        <v/>
      </c>
      <c r="D13" s="51" t="str">
        <f>'Rack 2'!E49</f>
        <v/>
      </c>
      <c r="E13" s="51" t="str">
        <f>'Rack 2'!E50</f>
        <v/>
      </c>
      <c r="F13" s="51" t="str">
        <f>'Rack 2'!E51</f>
        <v/>
      </c>
      <c r="G13" s="51" t="str">
        <f>'Rack 2'!E52</f>
        <v/>
      </c>
      <c r="H13" s="55" t="str">
        <f>'Rack 2'!E53</f>
        <v/>
      </c>
      <c r="I13" s="50" t="str">
        <f>'Rack 2'!E55</f>
        <v/>
      </c>
      <c r="J13" s="51" t="str">
        <f>'Rack 2'!E56</f>
        <v/>
      </c>
      <c r="K13" s="51" t="str">
        <f>'Rack 2'!E57</f>
        <v/>
      </c>
      <c r="L13" s="51" t="str">
        <f>'Rack 2'!E58</f>
        <v/>
      </c>
      <c r="M13" s="51" t="str">
        <f>'Rack 2'!E59</f>
        <v/>
      </c>
      <c r="N13" s="55" t="str">
        <f>'Rack 2'!E60</f>
        <v/>
      </c>
      <c r="O13" s="50" t="str">
        <f>'Rack 2'!E69</f>
        <v/>
      </c>
      <c r="P13" s="51" t="str">
        <f>'Rack 2'!E70</f>
        <v/>
      </c>
      <c r="Q13" s="51" t="str">
        <f>'Rack 2'!E71</f>
        <v/>
      </c>
      <c r="R13" s="51" t="str">
        <f>'Rack 2'!E72</f>
        <v/>
      </c>
      <c r="S13" s="51" t="str">
        <f>'Rack 2'!E73</f>
        <v/>
      </c>
      <c r="T13" s="56" t="str">
        <f>'Rack 2'!E74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2'!F48</f>
        <v/>
      </c>
      <c r="D16" s="53" t="str">
        <f>'Rack 2'!F49</f>
        <v/>
      </c>
      <c r="E16" s="53" t="str">
        <f>'Rack 2'!F50</f>
        <v/>
      </c>
      <c r="F16" s="53" t="str">
        <f>'Rack 2'!F51</f>
        <v/>
      </c>
      <c r="G16" s="53" t="str">
        <f>'Rack 2'!F52</f>
        <v/>
      </c>
      <c r="H16" s="54" t="str">
        <f>'Rack 2'!F53</f>
        <v/>
      </c>
      <c r="I16" s="52" t="str">
        <f>'Rack 2'!F55</f>
        <v/>
      </c>
      <c r="J16" s="53" t="str">
        <f>'Rack 2'!F56</f>
        <v/>
      </c>
      <c r="K16" s="53" t="str">
        <f>'Rack 2'!F57</f>
        <v/>
      </c>
      <c r="L16" s="53" t="str">
        <f>'Rack 2'!F58</f>
        <v/>
      </c>
      <c r="M16" s="53" t="str">
        <f>'Rack 2'!F59</f>
        <v/>
      </c>
      <c r="N16" s="54" t="str">
        <f>'Rack 2'!F60</f>
        <v/>
      </c>
      <c r="O16" s="52" t="str">
        <f>'Rack 2'!F69</f>
        <v/>
      </c>
      <c r="P16" s="53" t="str">
        <f>'Rack 2'!F70</f>
        <v/>
      </c>
      <c r="Q16" s="53" t="str">
        <f>'Rack 2'!F71</f>
        <v/>
      </c>
      <c r="R16" s="53" t="str">
        <f>'Rack 2'!F72</f>
        <v/>
      </c>
      <c r="S16" s="53" t="str">
        <f>'Rack 2'!F73</f>
        <v/>
      </c>
      <c r="T16" s="57" t="str">
        <f>'Rack 2'!F74</f>
        <v/>
      </c>
      <c r="U16" s="34"/>
    </row>
    <row r="17" spans="1:21" ht="33.9" customHeight="1" thickTop="1">
      <c r="A17" s="16"/>
      <c r="B17" s="341" t="s">
        <v>47</v>
      </c>
      <c r="C17" s="342" t="str">
        <f>'Rack 2'!B77</f>
        <v/>
      </c>
      <c r="D17" s="343"/>
      <c r="E17" s="343"/>
      <c r="F17" s="343"/>
      <c r="G17" s="343"/>
      <c r="H17" s="343"/>
      <c r="I17" s="342" t="str">
        <f>'Rack 2'!B84</f>
        <v/>
      </c>
      <c r="J17" s="343"/>
      <c r="K17" s="343"/>
      <c r="L17" s="343"/>
      <c r="M17" s="343"/>
      <c r="N17" s="343"/>
      <c r="O17" s="342" t="str">
        <f>'Rack 2'!B91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2'!E76</f>
        <v/>
      </c>
      <c r="D19" s="51" t="str">
        <f>'Rack 2'!E77</f>
        <v/>
      </c>
      <c r="E19" s="51" t="str">
        <f>'Rack 2'!E78</f>
        <v/>
      </c>
      <c r="F19" s="51" t="str">
        <f>'Rack 2'!E79</f>
        <v/>
      </c>
      <c r="G19" s="51" t="str">
        <f>'Rack 2'!E80</f>
        <v/>
      </c>
      <c r="H19" s="55" t="str">
        <f>'Rack 2'!E81</f>
        <v/>
      </c>
      <c r="I19" s="50" t="str">
        <f>'Rack 2'!E83</f>
        <v/>
      </c>
      <c r="J19" s="51" t="str">
        <f>'Rack 2'!E84</f>
        <v/>
      </c>
      <c r="K19" s="51" t="str">
        <f>'Rack 2'!E85</f>
        <v/>
      </c>
      <c r="L19" s="51" t="str">
        <f>'Rack 2'!E86</f>
        <v/>
      </c>
      <c r="M19" s="51" t="str">
        <f>'Rack 2'!E87</f>
        <v/>
      </c>
      <c r="N19" s="55" t="str">
        <f>'Rack 2'!E88</f>
        <v/>
      </c>
      <c r="O19" s="50" t="str">
        <f>'Rack 2'!E90</f>
        <v/>
      </c>
      <c r="P19" s="51" t="str">
        <f>'Rack 2'!E91</f>
        <v/>
      </c>
      <c r="Q19" s="51" t="str">
        <f>'Rack 2'!E92</f>
        <v/>
      </c>
      <c r="R19" s="51" t="str">
        <f>'Rack 2'!E93</f>
        <v/>
      </c>
      <c r="S19" s="51" t="str">
        <f>'Rack 2'!E94</f>
        <v/>
      </c>
      <c r="T19" s="56" t="str">
        <f>'Rack 2'!E95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2'!F76</f>
        <v/>
      </c>
      <c r="D21" s="53" t="str">
        <f>'Rack 2'!F77</f>
        <v/>
      </c>
      <c r="E21" s="53" t="str">
        <f>'Rack 2'!F78</f>
        <v/>
      </c>
      <c r="F21" s="53" t="str">
        <f>'Rack 2'!F79</f>
        <v/>
      </c>
      <c r="G21" s="53" t="str">
        <f>'Rack 2'!F80</f>
        <v/>
      </c>
      <c r="H21" s="54" t="str">
        <f>'Rack 2'!F81</f>
        <v/>
      </c>
      <c r="I21" s="52" t="str">
        <f>'Rack 2'!F83</f>
        <v/>
      </c>
      <c r="J21" s="53" t="str">
        <f>'Rack 2'!F84</f>
        <v/>
      </c>
      <c r="K21" s="53" t="str">
        <f>'Rack 2'!F85</f>
        <v/>
      </c>
      <c r="L21" s="53" t="str">
        <f>'Rack 2'!F86</f>
        <v/>
      </c>
      <c r="M21" s="53" t="str">
        <f>'Rack 2'!F87</f>
        <v/>
      </c>
      <c r="N21" s="54" t="str">
        <f>'Rack 2'!F88</f>
        <v/>
      </c>
      <c r="O21" s="52" t="str">
        <f>'Rack 2'!F90</f>
        <v/>
      </c>
      <c r="P21" s="53" t="str">
        <f>'Rack 2'!F91</f>
        <v/>
      </c>
      <c r="Q21" s="53" t="str">
        <f>'Rack 2'!F92</f>
        <v/>
      </c>
      <c r="R21" s="53" t="str">
        <f>'Rack 2'!F93</f>
        <v/>
      </c>
      <c r="S21" s="53" t="str">
        <f>'Rack 2'!F94</f>
        <v/>
      </c>
      <c r="T21" s="57" t="str">
        <f>'Rack 2'!F95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2'!B98</f>
        <v/>
      </c>
      <c r="D22" s="349"/>
      <c r="E22" s="349"/>
      <c r="F22" s="349"/>
      <c r="G22" s="349"/>
      <c r="H22" s="349"/>
      <c r="I22" s="348" t="str">
        <f>'Rack 2'!B105</f>
        <v/>
      </c>
      <c r="J22" s="349"/>
      <c r="K22" s="349"/>
      <c r="L22" s="349"/>
      <c r="M22" s="349"/>
      <c r="N22" s="349"/>
      <c r="O22" s="348" t="str">
        <f>'Rack 2'!B112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2'!E97</f>
        <v/>
      </c>
      <c r="D24" s="61" t="str">
        <f>'Rack 2'!E98</f>
        <v/>
      </c>
      <c r="E24" s="61" t="str">
        <f>'Rack 2'!E99</f>
        <v/>
      </c>
      <c r="F24" s="61" t="str">
        <f>'Rack 2'!E100</f>
        <v/>
      </c>
      <c r="G24" s="61" t="str">
        <f>'Rack 2'!E101</f>
        <v/>
      </c>
      <c r="H24" s="62" t="str">
        <f>'Rack 2'!E102</f>
        <v/>
      </c>
      <c r="I24" s="60" t="str">
        <f>'Rack 2'!E104</f>
        <v/>
      </c>
      <c r="J24" s="61" t="str">
        <f>'Rack 2'!E105</f>
        <v/>
      </c>
      <c r="K24" s="61" t="str">
        <f>'Rack 2'!E106</f>
        <v/>
      </c>
      <c r="L24" s="61" t="str">
        <f>'Rack 2'!E107</f>
        <v/>
      </c>
      <c r="M24" s="61" t="str">
        <f>'Rack 2'!E108</f>
        <v/>
      </c>
      <c r="N24" s="62" t="str">
        <f>'Rack 2'!E109</f>
        <v/>
      </c>
      <c r="O24" s="60" t="str">
        <f>'Rack 2'!E111</f>
        <v/>
      </c>
      <c r="P24" s="61" t="str">
        <f>'Rack 2'!E112</f>
        <v/>
      </c>
      <c r="Q24" s="61" t="str">
        <f>'Rack 2'!E113</f>
        <v/>
      </c>
      <c r="R24" s="61" t="str">
        <f>'Rack 2'!E114</f>
        <v/>
      </c>
      <c r="S24" s="61" t="str">
        <f>'Rack 2'!E115</f>
        <v/>
      </c>
      <c r="T24" s="63" t="str">
        <f>'Rack 2'!E116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2'!F97</f>
        <v/>
      </c>
      <c r="D26" s="53" t="str">
        <f>'Rack 2'!F98</f>
        <v/>
      </c>
      <c r="E26" s="53" t="str">
        <f>'Rack 2'!F99</f>
        <v/>
      </c>
      <c r="F26" s="53" t="str">
        <f>'Rack 2'!F100</f>
        <v/>
      </c>
      <c r="G26" s="53" t="str">
        <f>'Rack 2'!F101</f>
        <v/>
      </c>
      <c r="H26" s="54" t="str">
        <f>'Rack 2'!F102</f>
        <v/>
      </c>
      <c r="I26" s="52" t="str">
        <f>'Rack 2'!F104</f>
        <v/>
      </c>
      <c r="J26" s="53" t="str">
        <f>'Rack 2'!F105</f>
        <v/>
      </c>
      <c r="K26" s="53" t="str">
        <f>'Rack 2'!F106</f>
        <v/>
      </c>
      <c r="L26" s="53" t="str">
        <f>'Rack 2'!F107</f>
        <v/>
      </c>
      <c r="M26" s="53" t="str">
        <f>'Rack 2'!F108</f>
        <v/>
      </c>
      <c r="N26" s="54" t="str">
        <f>'Rack 2'!F109</f>
        <v/>
      </c>
      <c r="O26" s="52" t="str">
        <f>'Rack 2'!F111</f>
        <v/>
      </c>
      <c r="P26" s="53" t="str">
        <f>'Rack 2'!F112</f>
        <v/>
      </c>
      <c r="Q26" s="53" t="str">
        <f>'Rack 2'!F113</f>
        <v/>
      </c>
      <c r="R26" s="53" t="str">
        <f>'Rack 2'!F114</f>
        <v/>
      </c>
      <c r="S26" s="53" t="str">
        <f>'Rack 2'!F115</f>
        <v/>
      </c>
      <c r="T26" s="57" t="str">
        <f>'Rack 2'!F116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2'!B119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2'!E118</f>
        <v/>
      </c>
      <c r="D30" s="61" t="str">
        <f>'Rack 2'!E119</f>
        <v/>
      </c>
      <c r="E30" s="61" t="str">
        <f>'Rack 2'!E120</f>
        <v/>
      </c>
      <c r="F30" s="61" t="str">
        <f>'Rack 2'!E121</f>
        <v/>
      </c>
      <c r="G30" s="61" t="str">
        <f>'Rack 2'!E122</f>
        <v/>
      </c>
      <c r="H30" s="226" t="str">
        <f>'Rack 2'!E123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2'!F118</f>
        <v/>
      </c>
      <c r="D32" s="53" t="str">
        <f>'Rack 2'!F119</f>
        <v/>
      </c>
      <c r="E32" s="53" t="str">
        <f>'Rack 2'!F120</f>
        <v/>
      </c>
      <c r="F32" s="53" t="str">
        <f>'Rack 2'!F121</f>
        <v/>
      </c>
      <c r="G32" s="53" t="str">
        <f>'Rack 2'!F122</f>
        <v/>
      </c>
      <c r="H32" s="54" t="str">
        <f>'Rack 2'!F123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107" priority="4" stopIfTrue="1">
      <formula>_xlfn.XLOOKUP(B1, ColorLookup_MultiNames,ColorLookup_Colors) = "grey"</formula>
    </cfRule>
    <cfRule type="expression" dxfId="106" priority="5" stopIfTrue="1">
      <formula>_xlfn.XLOOKUP(B1, ColorLookup_MultiNames,ColorLookup_Colors) = "yellow"</formula>
    </cfRule>
    <cfRule type="expression" dxfId="105" priority="6" stopIfTrue="1">
      <formula>_xlfn.XLOOKUP(B1, ColorLookup_MultiNames,ColorLookup_Colors) = "orange"</formula>
    </cfRule>
    <cfRule type="expression" dxfId="104" priority="7" stopIfTrue="1">
      <formula>_xlfn.XLOOKUP(B1, ColorLookup_MultiNames,ColorLookup_Colors) = "brown"</formula>
    </cfRule>
    <cfRule type="expression" dxfId="103" priority="8" stopIfTrue="1">
      <formula>_xlfn.XLOOKUP(B1, ColorLookup_MultiNames,ColorLookup_Colors) = "green"</formula>
    </cfRule>
    <cfRule type="expression" dxfId="102" priority="9" stopIfTrue="1">
      <formula>_xlfn.XLOOKUP(B1, ColorLookup_MultiNames,ColorLookup_Colors) = "red"</formula>
    </cfRule>
    <cfRule type="expression" dxfId="101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100" priority="3" stopIfTrue="1">
      <formula>_xlfn.XLOOKUP(B1, ColorLookup_MultiNames,ColorLookup_Colors) = "purple"</formula>
    </cfRule>
  </conditionalFormatting>
  <conditionalFormatting sqref="C5:T8">
    <cfRule type="cellIs" dxfId="99" priority="2" operator="equal">
      <formula>0</formula>
    </cfRule>
  </conditionalFormatting>
  <conditionalFormatting sqref="C10:T13 C16:T19 C21:T24 C28:H30 B34:N43 B44:D45 C3:T3">
    <cfRule type="cellIs" dxfId="98" priority="11" operator="equal">
      <formula>0</formula>
    </cfRule>
  </conditionalFormatting>
  <conditionalFormatting sqref="C26:T26 C32:H32">
    <cfRule type="cellIs" dxfId="97" priority="12" operator="equal">
      <formula>0</formula>
    </cfRule>
  </conditionalFormatting>
  <conditionalFormatting sqref="I1:T2">
    <cfRule type="cellIs" dxfId="96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2&amp;R&amp;D</oddHeader>
  </headerFooter>
  <rowBreaks count="2" manualBreakCount="2">
    <brk id="13" max="20" man="1"/>
    <brk id="2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9F7B-B138-4A56-82A2-F71E644F1A87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customHeight="1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3'!B7</f>
        <v/>
      </c>
      <c r="D1" s="394"/>
      <c r="E1" s="394"/>
      <c r="F1" s="394"/>
      <c r="G1" s="394"/>
      <c r="H1" s="395"/>
      <c r="I1" s="374" t="str">
        <f>'Rack 3'!B14</f>
        <v/>
      </c>
      <c r="J1" s="375"/>
      <c r="K1" s="375"/>
      <c r="L1" s="375"/>
      <c r="M1" s="375"/>
      <c r="N1" s="376"/>
      <c r="O1" s="374" t="str">
        <f>'Rack 3'!B21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3'!E6</f>
        <v/>
      </c>
      <c r="D3" s="51" t="str">
        <f>'Rack 3'!E7</f>
        <v/>
      </c>
      <c r="E3" s="51" t="str">
        <f>'Rack 3'!E8</f>
        <v/>
      </c>
      <c r="F3" s="51" t="str">
        <f>'Rack 3'!E9</f>
        <v/>
      </c>
      <c r="G3" s="51" t="str">
        <f>'Rack 3'!E10</f>
        <v/>
      </c>
      <c r="H3" s="55" t="str">
        <f>'Rack 3'!E11</f>
        <v/>
      </c>
      <c r="I3" s="50" t="str">
        <f>'Rack 3'!E13</f>
        <v/>
      </c>
      <c r="J3" s="51" t="str">
        <f>'Rack 3'!E14</f>
        <v/>
      </c>
      <c r="K3" s="51" t="str">
        <f>'Rack 3'!E15</f>
        <v/>
      </c>
      <c r="L3" s="51" t="str">
        <f>'Rack 3'!E16</f>
        <v/>
      </c>
      <c r="M3" s="51" t="str">
        <f>'Rack 3'!E17</f>
        <v/>
      </c>
      <c r="N3" s="55" t="str">
        <f>'Rack 3'!E18</f>
        <v/>
      </c>
      <c r="O3" s="50" t="str">
        <f>'Rack 3'!E20</f>
        <v/>
      </c>
      <c r="P3" s="51" t="str">
        <f>'Rack 3'!E21</f>
        <v/>
      </c>
      <c r="Q3" s="51" t="str">
        <f>'Rack 3'!E22</f>
        <v/>
      </c>
      <c r="R3" s="51" t="str">
        <f>'Rack 3'!E23</f>
        <v/>
      </c>
      <c r="S3" s="51" t="str">
        <f>'Rack 3'!E24</f>
        <v/>
      </c>
      <c r="T3" s="56" t="str">
        <f>'Rack 3'!E25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3'!F6</f>
        <v/>
      </c>
      <c r="D5" s="53" t="str">
        <f>'Rack 3'!F7</f>
        <v/>
      </c>
      <c r="E5" s="53" t="str">
        <f>'Rack 3'!F8</f>
        <v/>
      </c>
      <c r="F5" s="53" t="str">
        <f>'Rack 3'!F9</f>
        <v/>
      </c>
      <c r="G5" s="53" t="str">
        <f>'Rack 3'!F10</f>
        <v/>
      </c>
      <c r="H5" s="54" t="str">
        <f>'Rack 3'!F11</f>
        <v/>
      </c>
      <c r="I5" s="52" t="str">
        <f>'Rack 3'!F13</f>
        <v/>
      </c>
      <c r="J5" s="53" t="str">
        <f>'Rack 3'!F14</f>
        <v/>
      </c>
      <c r="K5" s="53" t="str">
        <f>'Rack 3'!F15</f>
        <v/>
      </c>
      <c r="L5" s="53" t="str">
        <f>'Rack 3'!F16</f>
        <v/>
      </c>
      <c r="M5" s="53" t="str">
        <f>'Rack 3'!F17</f>
        <v/>
      </c>
      <c r="N5" s="54" t="str">
        <f>'Rack 3'!F18</f>
        <v/>
      </c>
      <c r="O5" s="52" t="str">
        <f>'Rack 3'!F20</f>
        <v/>
      </c>
      <c r="P5" s="53" t="str">
        <f>'Rack 3'!F21</f>
        <v/>
      </c>
      <c r="Q5" s="53" t="str">
        <f>'Rack 3'!F22</f>
        <v/>
      </c>
      <c r="R5" s="53" t="str">
        <f>'Rack 3'!F23</f>
        <v/>
      </c>
      <c r="S5" s="53" t="str">
        <f>'Rack 3'!F24</f>
        <v/>
      </c>
      <c r="T5" s="57" t="str">
        <f>'Rack 3'!F25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3'!B28</f>
        <v/>
      </c>
      <c r="D6" s="375"/>
      <c r="E6" s="375"/>
      <c r="F6" s="375"/>
      <c r="G6" s="375"/>
      <c r="H6" s="376"/>
      <c r="I6" s="374" t="str">
        <f>'Rack 3'!B35</f>
        <v/>
      </c>
      <c r="J6" s="375"/>
      <c r="K6" s="375"/>
      <c r="L6" s="375"/>
      <c r="M6" s="375"/>
      <c r="N6" s="376"/>
      <c r="O6" s="374" t="str">
        <f>'Rack 3'!B42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3'!E27</f>
        <v/>
      </c>
      <c r="D8" s="51" t="str">
        <f>'Rack 3'!E28</f>
        <v/>
      </c>
      <c r="E8" s="51" t="str">
        <f>'Rack 3'!E29</f>
        <v/>
      </c>
      <c r="F8" s="51" t="str">
        <f>'Rack 3'!E30</f>
        <v/>
      </c>
      <c r="G8" s="51" t="str">
        <f>'Rack 3'!E31</f>
        <v/>
      </c>
      <c r="H8" s="55" t="str">
        <f>'Rack 3'!E32</f>
        <v/>
      </c>
      <c r="I8" s="50" t="str">
        <f>'Rack 3'!E34</f>
        <v/>
      </c>
      <c r="J8" s="51" t="str">
        <f>'Rack 3'!E35</f>
        <v/>
      </c>
      <c r="K8" s="51" t="str">
        <f>'Rack 3'!E36</f>
        <v/>
      </c>
      <c r="L8" s="51" t="str">
        <f>'Rack 3'!E37</f>
        <v/>
      </c>
      <c r="M8" s="51" t="str">
        <f>'Rack 3'!E38</f>
        <v/>
      </c>
      <c r="N8" s="55" t="str">
        <f>'Rack 3'!E39</f>
        <v/>
      </c>
      <c r="O8" s="50" t="str">
        <f>'Rack 3'!E41</f>
        <v/>
      </c>
      <c r="P8" s="51" t="str">
        <f>'Rack 3'!E42</f>
        <v/>
      </c>
      <c r="Q8" s="51" t="str">
        <f>'Rack 3'!E43</f>
        <v/>
      </c>
      <c r="R8" s="51" t="str">
        <f>'Rack 3'!E44</f>
        <v/>
      </c>
      <c r="S8" s="51" t="str">
        <f>'Rack 3'!E45</f>
        <v/>
      </c>
      <c r="T8" s="56" t="str">
        <f>'Rack 3'!E46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3'!F27</f>
        <v/>
      </c>
      <c r="D10" s="53" t="str">
        <f>'Rack 3'!F28</f>
        <v/>
      </c>
      <c r="E10" s="53" t="str">
        <f>'Rack 3'!F29</f>
        <v/>
      </c>
      <c r="F10" s="53" t="str">
        <f>'Rack 3'!F30</f>
        <v/>
      </c>
      <c r="G10" s="53" t="str">
        <f>'Rack 3'!F31</f>
        <v/>
      </c>
      <c r="H10" s="54" t="str">
        <f>'Rack 3'!F32</f>
        <v/>
      </c>
      <c r="I10" s="52" t="str">
        <f>'Rack 3'!F34</f>
        <v/>
      </c>
      <c r="J10" s="53" t="str">
        <f>'Rack 3'!F35</f>
        <v/>
      </c>
      <c r="K10" s="53" t="str">
        <f>'Rack 3'!F36</f>
        <v/>
      </c>
      <c r="L10" s="53" t="str">
        <f>'Rack 3'!F37</f>
        <v/>
      </c>
      <c r="M10" s="53" t="str">
        <f>'Rack 3'!F38</f>
        <v/>
      </c>
      <c r="N10" s="54" t="str">
        <f>'Rack 3'!F39</f>
        <v/>
      </c>
      <c r="O10" s="58" t="str">
        <f>'Rack 3'!F41</f>
        <v/>
      </c>
      <c r="P10" s="48" t="str">
        <f>'Rack 3'!F42</f>
        <v/>
      </c>
      <c r="Q10" s="48" t="str">
        <f>'Rack 3'!F43</f>
        <v/>
      </c>
      <c r="R10" s="48" t="str">
        <f>'Rack 3'!F44</f>
        <v/>
      </c>
      <c r="S10" s="48" t="str">
        <f>'Rack 3'!F45</f>
        <v/>
      </c>
      <c r="T10" s="59" t="str">
        <f>'Rack 3'!F46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3'!B49</f>
        <v/>
      </c>
      <c r="D11" s="400"/>
      <c r="E11" s="400"/>
      <c r="F11" s="400"/>
      <c r="G11" s="400"/>
      <c r="H11" s="400"/>
      <c r="I11" s="401" t="str">
        <f>'Rack 3'!B56</f>
        <v/>
      </c>
      <c r="J11" s="402"/>
      <c r="K11" s="402"/>
      <c r="L11" s="402"/>
      <c r="M11" s="402"/>
      <c r="N11" s="402"/>
      <c r="O11" s="374" t="str">
        <f>'Rack 3'!B70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3'!E48</f>
        <v/>
      </c>
      <c r="D13" s="51" t="str">
        <f>'Rack 3'!E49</f>
        <v/>
      </c>
      <c r="E13" s="51" t="str">
        <f>'Rack 3'!E50</f>
        <v/>
      </c>
      <c r="F13" s="51" t="str">
        <f>'Rack 3'!E51</f>
        <v/>
      </c>
      <c r="G13" s="51" t="str">
        <f>'Rack 3'!E52</f>
        <v/>
      </c>
      <c r="H13" s="55" t="str">
        <f>'Rack 3'!E53</f>
        <v/>
      </c>
      <c r="I13" s="50" t="str">
        <f>'Rack 3'!E55</f>
        <v/>
      </c>
      <c r="J13" s="51" t="str">
        <f>'Rack 3'!E56</f>
        <v/>
      </c>
      <c r="K13" s="51" t="str">
        <f>'Rack 3'!E57</f>
        <v/>
      </c>
      <c r="L13" s="51" t="str">
        <f>'Rack 3'!E58</f>
        <v/>
      </c>
      <c r="M13" s="51" t="str">
        <f>'Rack 3'!E59</f>
        <v/>
      </c>
      <c r="N13" s="55" t="str">
        <f>'Rack 3'!E60</f>
        <v/>
      </c>
      <c r="O13" s="50" t="str">
        <f>'Rack 3'!E69</f>
        <v/>
      </c>
      <c r="P13" s="51" t="str">
        <f>'Rack 3'!E70</f>
        <v/>
      </c>
      <c r="Q13" s="51" t="str">
        <f>'Rack 3'!E71</f>
        <v/>
      </c>
      <c r="R13" s="51" t="str">
        <f>'Rack 3'!E72</f>
        <v/>
      </c>
      <c r="S13" s="51" t="str">
        <f>'Rack 3'!E73</f>
        <v/>
      </c>
      <c r="T13" s="56" t="str">
        <f>'Rack 3'!E74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3'!F48</f>
        <v/>
      </c>
      <c r="D16" s="53" t="str">
        <f>'Rack 3'!F49</f>
        <v/>
      </c>
      <c r="E16" s="53" t="str">
        <f>'Rack 3'!F50</f>
        <v/>
      </c>
      <c r="F16" s="53" t="str">
        <f>'Rack 3'!F51</f>
        <v/>
      </c>
      <c r="G16" s="53" t="str">
        <f>'Rack 3'!F52</f>
        <v/>
      </c>
      <c r="H16" s="54" t="str">
        <f>'Rack 3'!F53</f>
        <v/>
      </c>
      <c r="I16" s="52" t="str">
        <f>'Rack 3'!F55</f>
        <v/>
      </c>
      <c r="J16" s="53" t="str">
        <f>'Rack 3'!F56</f>
        <v/>
      </c>
      <c r="K16" s="53" t="str">
        <f>'Rack 3'!F57</f>
        <v/>
      </c>
      <c r="L16" s="53" t="str">
        <f>'Rack 3'!F58</f>
        <v/>
      </c>
      <c r="M16" s="53" t="str">
        <f>'Rack 3'!F59</f>
        <v/>
      </c>
      <c r="N16" s="54" t="str">
        <f>'Rack 3'!F60</f>
        <v/>
      </c>
      <c r="O16" s="52" t="str">
        <f>'Rack 3'!F69</f>
        <v/>
      </c>
      <c r="P16" s="53" t="str">
        <f>'Rack 3'!F70</f>
        <v/>
      </c>
      <c r="Q16" s="53" t="str">
        <f>'Rack 3'!F71</f>
        <v/>
      </c>
      <c r="R16" s="53" t="str">
        <f>'Rack 3'!F72</f>
        <v/>
      </c>
      <c r="S16" s="53" t="str">
        <f>'Rack 3'!F73</f>
        <v/>
      </c>
      <c r="T16" s="57" t="str">
        <f>'Rack 3'!F74</f>
        <v/>
      </c>
      <c r="U16" s="34"/>
    </row>
    <row r="17" spans="1:21" ht="33.9" customHeight="1" thickTop="1">
      <c r="A17" s="16"/>
      <c r="B17" s="341" t="s">
        <v>47</v>
      </c>
      <c r="C17" s="342" t="str">
        <f>'Rack 3'!B77</f>
        <v/>
      </c>
      <c r="D17" s="343"/>
      <c r="E17" s="343"/>
      <c r="F17" s="343"/>
      <c r="G17" s="343"/>
      <c r="H17" s="343"/>
      <c r="I17" s="342" t="str">
        <f>'Rack 3'!B84</f>
        <v/>
      </c>
      <c r="J17" s="343"/>
      <c r="K17" s="343"/>
      <c r="L17" s="343"/>
      <c r="M17" s="343"/>
      <c r="N17" s="343"/>
      <c r="O17" s="342" t="str">
        <f>'Rack 3'!B91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3'!E76</f>
        <v/>
      </c>
      <c r="D19" s="51" t="str">
        <f>'Rack 3'!E77</f>
        <v/>
      </c>
      <c r="E19" s="51" t="str">
        <f>'Rack 3'!E78</f>
        <v/>
      </c>
      <c r="F19" s="51" t="str">
        <f>'Rack 3'!E79</f>
        <v/>
      </c>
      <c r="G19" s="51" t="str">
        <f>'Rack 3'!E80</f>
        <v/>
      </c>
      <c r="H19" s="55" t="str">
        <f>'Rack 3'!E81</f>
        <v/>
      </c>
      <c r="I19" s="50" t="str">
        <f>'Rack 3'!E83</f>
        <v/>
      </c>
      <c r="J19" s="51" t="str">
        <f>'Rack 3'!E84</f>
        <v/>
      </c>
      <c r="K19" s="51" t="str">
        <f>'Rack 3'!E85</f>
        <v/>
      </c>
      <c r="L19" s="51" t="str">
        <f>'Rack 3'!E86</f>
        <v/>
      </c>
      <c r="M19" s="51" t="str">
        <f>'Rack 3'!E87</f>
        <v/>
      </c>
      <c r="N19" s="55" t="str">
        <f>'Rack 3'!E88</f>
        <v/>
      </c>
      <c r="O19" s="50" t="str">
        <f>'Rack 3'!E90</f>
        <v/>
      </c>
      <c r="P19" s="51" t="str">
        <f>'Rack 3'!E91</f>
        <v/>
      </c>
      <c r="Q19" s="51" t="str">
        <f>'Rack 3'!E92</f>
        <v/>
      </c>
      <c r="R19" s="51" t="str">
        <f>'Rack 3'!E93</f>
        <v/>
      </c>
      <c r="S19" s="51" t="str">
        <f>'Rack 3'!E94</f>
        <v/>
      </c>
      <c r="T19" s="56" t="str">
        <f>'Rack 3'!E95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3'!F76</f>
        <v/>
      </c>
      <c r="D21" s="53" t="str">
        <f>'Rack 3'!F77</f>
        <v/>
      </c>
      <c r="E21" s="53" t="str">
        <f>'Rack 3'!F78</f>
        <v/>
      </c>
      <c r="F21" s="53" t="str">
        <f>'Rack 3'!F79</f>
        <v/>
      </c>
      <c r="G21" s="53" t="str">
        <f>'Rack 3'!F80</f>
        <v/>
      </c>
      <c r="H21" s="54" t="str">
        <f>'Rack 3'!F81</f>
        <v/>
      </c>
      <c r="I21" s="52" t="str">
        <f>'Rack 3'!F83</f>
        <v/>
      </c>
      <c r="J21" s="53" t="str">
        <f>'Rack 3'!F84</f>
        <v/>
      </c>
      <c r="K21" s="53" t="str">
        <f>'Rack 3'!F85</f>
        <v/>
      </c>
      <c r="L21" s="53" t="str">
        <f>'Rack 3'!F86</f>
        <v/>
      </c>
      <c r="M21" s="53" t="str">
        <f>'Rack 3'!F87</f>
        <v/>
      </c>
      <c r="N21" s="54" t="str">
        <f>'Rack 3'!F88</f>
        <v/>
      </c>
      <c r="O21" s="52" t="str">
        <f>'Rack 3'!F90</f>
        <v/>
      </c>
      <c r="P21" s="53" t="str">
        <f>'Rack 3'!F91</f>
        <v/>
      </c>
      <c r="Q21" s="53" t="str">
        <f>'Rack 3'!F92</f>
        <v/>
      </c>
      <c r="R21" s="53" t="str">
        <f>'Rack 3'!F93</f>
        <v/>
      </c>
      <c r="S21" s="53" t="str">
        <f>'Rack 3'!F94</f>
        <v/>
      </c>
      <c r="T21" s="57" t="str">
        <f>'Rack 3'!F95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3'!B98</f>
        <v/>
      </c>
      <c r="D22" s="349"/>
      <c r="E22" s="349"/>
      <c r="F22" s="349"/>
      <c r="G22" s="349"/>
      <c r="H22" s="349"/>
      <c r="I22" s="348" t="str">
        <f>'Rack 3'!B105</f>
        <v/>
      </c>
      <c r="J22" s="349"/>
      <c r="K22" s="349"/>
      <c r="L22" s="349"/>
      <c r="M22" s="349"/>
      <c r="N22" s="349"/>
      <c r="O22" s="348" t="str">
        <f>'Rack 3'!B112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3'!E97</f>
        <v/>
      </c>
      <c r="D24" s="61" t="str">
        <f>'Rack 3'!E98</f>
        <v/>
      </c>
      <c r="E24" s="61" t="str">
        <f>'Rack 3'!E99</f>
        <v/>
      </c>
      <c r="F24" s="61" t="str">
        <f>'Rack 3'!E100</f>
        <v/>
      </c>
      <c r="G24" s="61" t="str">
        <f>'Rack 3'!E101</f>
        <v/>
      </c>
      <c r="H24" s="62" t="str">
        <f>'Rack 3'!E102</f>
        <v/>
      </c>
      <c r="I24" s="60" t="str">
        <f>'Rack 3'!E104</f>
        <v/>
      </c>
      <c r="J24" s="61" t="str">
        <f>'Rack 3'!E105</f>
        <v/>
      </c>
      <c r="K24" s="61" t="str">
        <f>'Rack 3'!E106</f>
        <v/>
      </c>
      <c r="L24" s="61" t="str">
        <f>'Rack 3'!E107</f>
        <v/>
      </c>
      <c r="M24" s="61" t="str">
        <f>'Rack 3'!E108</f>
        <v/>
      </c>
      <c r="N24" s="62" t="str">
        <f>'Rack 3'!E109</f>
        <v/>
      </c>
      <c r="O24" s="60" t="str">
        <f>'Rack 3'!E111</f>
        <v/>
      </c>
      <c r="P24" s="61" t="str">
        <f>'Rack 3'!E112</f>
        <v/>
      </c>
      <c r="Q24" s="61" t="str">
        <f>'Rack 3'!E113</f>
        <v/>
      </c>
      <c r="R24" s="61" t="str">
        <f>'Rack 3'!E114</f>
        <v/>
      </c>
      <c r="S24" s="61" t="str">
        <f>'Rack 3'!E115</f>
        <v/>
      </c>
      <c r="T24" s="63" t="str">
        <f>'Rack 3'!E116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3'!F97</f>
        <v/>
      </c>
      <c r="D26" s="53" t="str">
        <f>'Rack 3'!F98</f>
        <v/>
      </c>
      <c r="E26" s="53" t="str">
        <f>'Rack 3'!F99</f>
        <v/>
      </c>
      <c r="F26" s="53" t="str">
        <f>'Rack 3'!F100</f>
        <v/>
      </c>
      <c r="G26" s="53" t="str">
        <f>'Rack 3'!F101</f>
        <v/>
      </c>
      <c r="H26" s="54" t="str">
        <f>'Rack 3'!F102</f>
        <v/>
      </c>
      <c r="I26" s="52" t="str">
        <f>'Rack 3'!F104</f>
        <v/>
      </c>
      <c r="J26" s="53" t="str">
        <f>'Rack 3'!F105</f>
        <v/>
      </c>
      <c r="K26" s="53" t="str">
        <f>'Rack 3'!F106</f>
        <v/>
      </c>
      <c r="L26" s="53" t="str">
        <f>'Rack 3'!F107</f>
        <v/>
      </c>
      <c r="M26" s="53" t="str">
        <f>'Rack 3'!F108</f>
        <v/>
      </c>
      <c r="N26" s="54" t="str">
        <f>'Rack 3'!F109</f>
        <v/>
      </c>
      <c r="O26" s="52" t="str">
        <f>'Rack 3'!F111</f>
        <v/>
      </c>
      <c r="P26" s="53" t="str">
        <f>'Rack 3'!F112</f>
        <v/>
      </c>
      <c r="Q26" s="53" t="str">
        <f>'Rack 3'!F113</f>
        <v/>
      </c>
      <c r="R26" s="53" t="str">
        <f>'Rack 3'!F114</f>
        <v/>
      </c>
      <c r="S26" s="53" t="str">
        <f>'Rack 3'!F115</f>
        <v/>
      </c>
      <c r="T26" s="57" t="str">
        <f>'Rack 3'!F116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3'!B119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3'!E118</f>
        <v/>
      </c>
      <c r="D30" s="61" t="str">
        <f>'Rack 3'!E119</f>
        <v/>
      </c>
      <c r="E30" s="61" t="str">
        <f>'Rack 3'!E120</f>
        <v/>
      </c>
      <c r="F30" s="61" t="str">
        <f>'Rack 3'!E121</f>
        <v/>
      </c>
      <c r="G30" s="61" t="str">
        <f>'Rack 3'!E122</f>
        <v/>
      </c>
      <c r="H30" s="226" t="str">
        <f>'Rack 3'!E123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3'!F118</f>
        <v/>
      </c>
      <c r="D32" s="53" t="str">
        <f>'Rack 3'!F119</f>
        <v/>
      </c>
      <c r="E32" s="53" t="str">
        <f>'Rack 3'!F120</f>
        <v/>
      </c>
      <c r="F32" s="53" t="str">
        <f>'Rack 3'!F121</f>
        <v/>
      </c>
      <c r="G32" s="53" t="str">
        <f>'Rack 3'!F122</f>
        <v/>
      </c>
      <c r="H32" s="54" t="str">
        <f>'Rack 3'!F123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95" priority="4" stopIfTrue="1">
      <formula>_xlfn.XLOOKUP(B1, ColorLookup_MultiNames,ColorLookup_Colors) = "grey"</formula>
    </cfRule>
    <cfRule type="expression" dxfId="94" priority="5" stopIfTrue="1">
      <formula>_xlfn.XLOOKUP(B1, ColorLookup_MultiNames,ColorLookup_Colors) = "yellow"</formula>
    </cfRule>
    <cfRule type="expression" dxfId="93" priority="6" stopIfTrue="1">
      <formula>_xlfn.XLOOKUP(B1, ColorLookup_MultiNames,ColorLookup_Colors) = "orange"</formula>
    </cfRule>
    <cfRule type="expression" dxfId="92" priority="7" stopIfTrue="1">
      <formula>_xlfn.XLOOKUP(B1, ColorLookup_MultiNames,ColorLookup_Colors) = "brown"</formula>
    </cfRule>
    <cfRule type="expression" dxfId="91" priority="8" stopIfTrue="1">
      <formula>_xlfn.XLOOKUP(B1, ColorLookup_MultiNames,ColorLookup_Colors) = "green"</formula>
    </cfRule>
    <cfRule type="expression" dxfId="90" priority="9" stopIfTrue="1">
      <formula>_xlfn.XLOOKUP(B1, ColorLookup_MultiNames,ColorLookup_Colors) = "red"</formula>
    </cfRule>
    <cfRule type="expression" dxfId="89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88" priority="3" stopIfTrue="1">
      <formula>_xlfn.XLOOKUP(B1, ColorLookup_MultiNames,ColorLookup_Colors) = "purple"</formula>
    </cfRule>
  </conditionalFormatting>
  <conditionalFormatting sqref="C5:T8">
    <cfRule type="cellIs" dxfId="87" priority="2" operator="equal">
      <formula>0</formula>
    </cfRule>
  </conditionalFormatting>
  <conditionalFormatting sqref="C10:T13 C16:T19 C21:T24 C28:H30 B34:N43 B44:D45 C3:T3">
    <cfRule type="cellIs" dxfId="86" priority="11" operator="equal">
      <formula>0</formula>
    </cfRule>
  </conditionalFormatting>
  <conditionalFormatting sqref="C26:T26 C32:H32">
    <cfRule type="cellIs" dxfId="85" priority="12" operator="equal">
      <formula>0</formula>
    </cfRule>
  </conditionalFormatting>
  <conditionalFormatting sqref="I1:T2">
    <cfRule type="cellIs" dxfId="84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3&amp;R&amp;D</oddHeader>
  </headerFooter>
  <rowBreaks count="1" manualBreakCount="1">
    <brk id="26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6C0D-82AC-4DFA-8288-8F9C8CE6FE35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4'!B7</f>
        <v/>
      </c>
      <c r="D1" s="394"/>
      <c r="E1" s="394"/>
      <c r="F1" s="394"/>
      <c r="G1" s="394"/>
      <c r="H1" s="395"/>
      <c r="I1" s="374" t="str">
        <f>'Rack 4'!B14</f>
        <v/>
      </c>
      <c r="J1" s="375"/>
      <c r="K1" s="375"/>
      <c r="L1" s="375"/>
      <c r="M1" s="375"/>
      <c r="N1" s="376"/>
      <c r="O1" s="374" t="str">
        <f>'Rack 4'!B21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4'!E6</f>
        <v/>
      </c>
      <c r="D3" s="51" t="str">
        <f>'Rack 4'!E7</f>
        <v/>
      </c>
      <c r="E3" s="51" t="str">
        <f>'Rack 4'!E8</f>
        <v/>
      </c>
      <c r="F3" s="51" t="str">
        <f>'Rack 4'!E9</f>
        <v/>
      </c>
      <c r="G3" s="51" t="str">
        <f>'Rack 4'!E10</f>
        <v/>
      </c>
      <c r="H3" s="55" t="str">
        <f>'Rack 4'!E11</f>
        <v/>
      </c>
      <c r="I3" s="50" t="str">
        <f>'Rack 4'!E13</f>
        <v/>
      </c>
      <c r="J3" s="51" t="str">
        <f>'Rack 4'!E14</f>
        <v/>
      </c>
      <c r="K3" s="51" t="str">
        <f>'Rack 4'!E15</f>
        <v/>
      </c>
      <c r="L3" s="51" t="str">
        <f>'Rack 4'!E16</f>
        <v/>
      </c>
      <c r="M3" s="51" t="str">
        <f>'Rack 4'!E17</f>
        <v/>
      </c>
      <c r="N3" s="55" t="str">
        <f>'Rack 4'!E18</f>
        <v/>
      </c>
      <c r="O3" s="50" t="str">
        <f>'Rack 4'!E20</f>
        <v/>
      </c>
      <c r="P3" s="51" t="str">
        <f>'Rack 4'!E21</f>
        <v/>
      </c>
      <c r="Q3" s="51" t="str">
        <f>'Rack 4'!E22</f>
        <v/>
      </c>
      <c r="R3" s="51" t="str">
        <f>'Rack 4'!E23</f>
        <v/>
      </c>
      <c r="S3" s="51" t="str">
        <f>'Rack 4'!E24</f>
        <v/>
      </c>
      <c r="T3" s="56" t="str">
        <f>'Rack 4'!E25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4'!F6</f>
        <v/>
      </c>
      <c r="D5" s="53" t="str">
        <f>'Rack 4'!F7</f>
        <v/>
      </c>
      <c r="E5" s="53" t="str">
        <f>'Rack 4'!F8</f>
        <v/>
      </c>
      <c r="F5" s="53" t="str">
        <f>'Rack 4'!F9</f>
        <v/>
      </c>
      <c r="G5" s="53" t="str">
        <f>'Rack 4'!F10</f>
        <v/>
      </c>
      <c r="H5" s="54" t="str">
        <f>'Rack 4'!F11</f>
        <v/>
      </c>
      <c r="I5" s="52" t="str">
        <f>'Rack 4'!F13</f>
        <v/>
      </c>
      <c r="J5" s="53" t="str">
        <f>'Rack 4'!F14</f>
        <v/>
      </c>
      <c r="K5" s="53" t="str">
        <f>'Rack 4'!F15</f>
        <v/>
      </c>
      <c r="L5" s="53" t="str">
        <f>'Rack 4'!F16</f>
        <v/>
      </c>
      <c r="M5" s="53" t="str">
        <f>'Rack 4'!F17</f>
        <v/>
      </c>
      <c r="N5" s="54" t="str">
        <f>'Rack 4'!F18</f>
        <v/>
      </c>
      <c r="O5" s="52" t="str">
        <f>'Rack 4'!F20</f>
        <v/>
      </c>
      <c r="P5" s="53" t="str">
        <f>'Rack 4'!F21</f>
        <v/>
      </c>
      <c r="Q5" s="53" t="str">
        <f>'Rack 4'!F22</f>
        <v/>
      </c>
      <c r="R5" s="53" t="str">
        <f>'Rack 4'!F23</f>
        <v/>
      </c>
      <c r="S5" s="53" t="str">
        <f>'Rack 4'!F24</f>
        <v/>
      </c>
      <c r="T5" s="57" t="str">
        <f>'Rack 4'!F25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4'!B28</f>
        <v/>
      </c>
      <c r="D6" s="375"/>
      <c r="E6" s="375"/>
      <c r="F6" s="375"/>
      <c r="G6" s="375"/>
      <c r="H6" s="376"/>
      <c r="I6" s="374" t="str">
        <f>'Rack 4'!B35</f>
        <v/>
      </c>
      <c r="J6" s="375"/>
      <c r="K6" s="375"/>
      <c r="L6" s="375"/>
      <c r="M6" s="375"/>
      <c r="N6" s="376"/>
      <c r="O6" s="374" t="str">
        <f>'Rack 4'!B42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4'!E27</f>
        <v/>
      </c>
      <c r="D8" s="51" t="str">
        <f>'Rack 4'!E28</f>
        <v/>
      </c>
      <c r="E8" s="51" t="str">
        <f>'Rack 4'!E29</f>
        <v/>
      </c>
      <c r="F8" s="51" t="str">
        <f>'Rack 4'!E30</f>
        <v/>
      </c>
      <c r="G8" s="51" t="str">
        <f>'Rack 4'!E31</f>
        <v/>
      </c>
      <c r="H8" s="55" t="str">
        <f>'Rack 4'!E32</f>
        <v/>
      </c>
      <c r="I8" s="50" t="str">
        <f>'Rack 4'!E34</f>
        <v/>
      </c>
      <c r="J8" s="51" t="str">
        <f>'Rack 4'!E35</f>
        <v/>
      </c>
      <c r="K8" s="51" t="str">
        <f>'Rack 4'!E36</f>
        <v/>
      </c>
      <c r="L8" s="51" t="str">
        <f>'Rack 4'!E37</f>
        <v/>
      </c>
      <c r="M8" s="51" t="str">
        <f>'Rack 4'!E38</f>
        <v/>
      </c>
      <c r="N8" s="55" t="str">
        <f>'Rack 4'!E39</f>
        <v/>
      </c>
      <c r="O8" s="50" t="str">
        <f>'Rack 4'!E41</f>
        <v/>
      </c>
      <c r="P8" s="51" t="str">
        <f>'Rack 4'!E42</f>
        <v/>
      </c>
      <c r="Q8" s="51" t="str">
        <f>'Rack 4'!E43</f>
        <v/>
      </c>
      <c r="R8" s="51" t="str">
        <f>'Rack 4'!E44</f>
        <v/>
      </c>
      <c r="S8" s="51" t="str">
        <f>'Rack 4'!E45</f>
        <v/>
      </c>
      <c r="T8" s="56" t="str">
        <f>'Rack 4'!E46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4'!F27</f>
        <v/>
      </c>
      <c r="D10" s="53" t="str">
        <f>'Rack 4'!F28</f>
        <v/>
      </c>
      <c r="E10" s="53" t="str">
        <f>'Rack 4'!F29</f>
        <v/>
      </c>
      <c r="F10" s="53" t="str">
        <f>'Rack 4'!F30</f>
        <v/>
      </c>
      <c r="G10" s="53" t="str">
        <f>'Rack 4'!F31</f>
        <v/>
      </c>
      <c r="H10" s="54" t="str">
        <f>'Rack 4'!F32</f>
        <v/>
      </c>
      <c r="I10" s="52" t="str">
        <f>'Rack 4'!F34</f>
        <v/>
      </c>
      <c r="J10" s="53" t="str">
        <f>'Rack 4'!F35</f>
        <v/>
      </c>
      <c r="K10" s="53" t="str">
        <f>'Rack 4'!F36</f>
        <v/>
      </c>
      <c r="L10" s="53" t="str">
        <f>'Rack 4'!F37</f>
        <v/>
      </c>
      <c r="M10" s="53" t="str">
        <f>'Rack 4'!F38</f>
        <v/>
      </c>
      <c r="N10" s="54" t="str">
        <f>'Rack 4'!F39</f>
        <v/>
      </c>
      <c r="O10" s="58" t="str">
        <f>'Rack 4'!F41</f>
        <v/>
      </c>
      <c r="P10" s="48" t="str">
        <f>'Rack 4'!F42</f>
        <v/>
      </c>
      <c r="Q10" s="48" t="str">
        <f>'Rack 4'!F43</f>
        <v/>
      </c>
      <c r="R10" s="48" t="str">
        <f>'Rack 4'!F44</f>
        <v/>
      </c>
      <c r="S10" s="48" t="str">
        <f>'Rack 4'!F45</f>
        <v/>
      </c>
      <c r="T10" s="59" t="str">
        <f>'Rack 4'!F46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4'!B49</f>
        <v/>
      </c>
      <c r="D11" s="400"/>
      <c r="E11" s="400"/>
      <c r="F11" s="400"/>
      <c r="G11" s="400"/>
      <c r="H11" s="400"/>
      <c r="I11" s="401" t="str">
        <f>'Rack 4'!B56</f>
        <v/>
      </c>
      <c r="J11" s="402"/>
      <c r="K11" s="402"/>
      <c r="L11" s="402"/>
      <c r="M11" s="402"/>
      <c r="N11" s="402"/>
      <c r="O11" s="374" t="str">
        <f>'Rack 4'!B70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4'!E48</f>
        <v/>
      </c>
      <c r="D13" s="51" t="str">
        <f>'Rack 4'!E49</f>
        <v/>
      </c>
      <c r="E13" s="51" t="str">
        <f>'Rack 4'!E50</f>
        <v/>
      </c>
      <c r="F13" s="51" t="str">
        <f>'Rack 4'!E51</f>
        <v/>
      </c>
      <c r="G13" s="51" t="str">
        <f>'Rack 4'!E52</f>
        <v/>
      </c>
      <c r="H13" s="55" t="str">
        <f>'Rack 4'!E53</f>
        <v/>
      </c>
      <c r="I13" s="50" t="str">
        <f>'Rack 4'!E55</f>
        <v/>
      </c>
      <c r="J13" s="51" t="str">
        <f>'Rack 4'!E56</f>
        <v/>
      </c>
      <c r="K13" s="51" t="str">
        <f>'Rack 4'!E57</f>
        <v/>
      </c>
      <c r="L13" s="51" t="str">
        <f>'Rack 4'!E58</f>
        <v/>
      </c>
      <c r="M13" s="51" t="str">
        <f>'Rack 4'!E59</f>
        <v/>
      </c>
      <c r="N13" s="55" t="str">
        <f>'Rack 4'!E60</f>
        <v/>
      </c>
      <c r="O13" s="50" t="str">
        <f>'Rack 4'!E69</f>
        <v/>
      </c>
      <c r="P13" s="51" t="str">
        <f>'Rack 4'!E70</f>
        <v/>
      </c>
      <c r="Q13" s="51" t="str">
        <f>'Rack 4'!E71</f>
        <v/>
      </c>
      <c r="R13" s="51" t="str">
        <f>'Rack 4'!E72</f>
        <v/>
      </c>
      <c r="S13" s="51" t="str">
        <f>'Rack 4'!E73</f>
        <v/>
      </c>
      <c r="T13" s="56" t="str">
        <f>'Rack 4'!E74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4'!F48</f>
        <v/>
      </c>
      <c r="D16" s="53" t="str">
        <f>'Rack 4'!F49</f>
        <v/>
      </c>
      <c r="E16" s="53" t="str">
        <f>'Rack 4'!F50</f>
        <v/>
      </c>
      <c r="F16" s="53" t="str">
        <f>'Rack 4'!F51</f>
        <v/>
      </c>
      <c r="G16" s="53" t="str">
        <f>'Rack 4'!F52</f>
        <v/>
      </c>
      <c r="H16" s="54" t="str">
        <f>'Rack 4'!F53</f>
        <v/>
      </c>
      <c r="I16" s="52" t="str">
        <f>'Rack 4'!F55</f>
        <v/>
      </c>
      <c r="J16" s="53" t="str">
        <f>'Rack 4'!F56</f>
        <v/>
      </c>
      <c r="K16" s="53" t="str">
        <f>'Rack 4'!F57</f>
        <v/>
      </c>
      <c r="L16" s="53" t="str">
        <f>'Rack 4'!F58</f>
        <v/>
      </c>
      <c r="M16" s="53" t="str">
        <f>'Rack 4'!F59</f>
        <v/>
      </c>
      <c r="N16" s="54" t="str">
        <f>'Rack 4'!F60</f>
        <v/>
      </c>
      <c r="O16" s="52" t="str">
        <f>'Rack 4'!F69</f>
        <v/>
      </c>
      <c r="P16" s="53" t="str">
        <f>'Rack 4'!F70</f>
        <v/>
      </c>
      <c r="Q16" s="53" t="str">
        <f>'Rack 4'!F71</f>
        <v/>
      </c>
      <c r="R16" s="53" t="str">
        <f>'Rack 4'!F72</f>
        <v/>
      </c>
      <c r="S16" s="53" t="str">
        <f>'Rack 4'!F73</f>
        <v/>
      </c>
      <c r="T16" s="57" t="str">
        <f>'Rack 4'!F74</f>
        <v/>
      </c>
      <c r="U16" s="34"/>
    </row>
    <row r="17" spans="1:21" ht="33.9" customHeight="1" thickTop="1">
      <c r="A17" s="16"/>
      <c r="B17" s="341" t="s">
        <v>47</v>
      </c>
      <c r="C17" s="342" t="str">
        <f>'Rack 4'!B77</f>
        <v/>
      </c>
      <c r="D17" s="343"/>
      <c r="E17" s="343"/>
      <c r="F17" s="343"/>
      <c r="G17" s="343"/>
      <c r="H17" s="343"/>
      <c r="I17" s="342" t="str">
        <f>'Rack 4'!B84</f>
        <v/>
      </c>
      <c r="J17" s="343"/>
      <c r="K17" s="343"/>
      <c r="L17" s="343"/>
      <c r="M17" s="343"/>
      <c r="N17" s="343"/>
      <c r="O17" s="342" t="str">
        <f>'Rack 4'!B91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4'!E76</f>
        <v/>
      </c>
      <c r="D19" s="51" t="str">
        <f>'Rack 4'!E77</f>
        <v/>
      </c>
      <c r="E19" s="51" t="str">
        <f>'Rack 4'!E78</f>
        <v/>
      </c>
      <c r="F19" s="51" t="str">
        <f>'Rack 4'!E79</f>
        <v/>
      </c>
      <c r="G19" s="51" t="str">
        <f>'Rack 4'!E80</f>
        <v/>
      </c>
      <c r="H19" s="55" t="str">
        <f>'Rack 4'!E81</f>
        <v/>
      </c>
      <c r="I19" s="50" t="str">
        <f>'Rack 4'!E83</f>
        <v/>
      </c>
      <c r="J19" s="51" t="str">
        <f>'Rack 4'!E84</f>
        <v/>
      </c>
      <c r="K19" s="51" t="str">
        <f>'Rack 4'!E85</f>
        <v/>
      </c>
      <c r="L19" s="51" t="str">
        <f>'Rack 4'!E86</f>
        <v/>
      </c>
      <c r="M19" s="51" t="str">
        <f>'Rack 4'!E87</f>
        <v/>
      </c>
      <c r="N19" s="55" t="str">
        <f>'Rack 4'!E88</f>
        <v/>
      </c>
      <c r="O19" s="50" t="str">
        <f>'Rack 4'!E90</f>
        <v/>
      </c>
      <c r="P19" s="51" t="str">
        <f>'Rack 4'!E91</f>
        <v/>
      </c>
      <c r="Q19" s="51" t="str">
        <f>'Rack 4'!E92</f>
        <v/>
      </c>
      <c r="R19" s="51" t="str">
        <f>'Rack 4'!E93</f>
        <v/>
      </c>
      <c r="S19" s="51" t="str">
        <f>'Rack 4'!E94</f>
        <v/>
      </c>
      <c r="T19" s="56" t="str">
        <f>'Rack 4'!E95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4'!F76</f>
        <v/>
      </c>
      <c r="D21" s="53" t="str">
        <f>'Rack 4'!F77</f>
        <v/>
      </c>
      <c r="E21" s="53" t="str">
        <f>'Rack 4'!F78</f>
        <v/>
      </c>
      <c r="F21" s="53" t="str">
        <f>'Rack 4'!F79</f>
        <v/>
      </c>
      <c r="G21" s="53" t="str">
        <f>'Rack 4'!F80</f>
        <v/>
      </c>
      <c r="H21" s="54" t="str">
        <f>'Rack 4'!F81</f>
        <v/>
      </c>
      <c r="I21" s="52" t="str">
        <f>'Rack 4'!F83</f>
        <v/>
      </c>
      <c r="J21" s="53" t="str">
        <f>'Rack 4'!F84</f>
        <v/>
      </c>
      <c r="K21" s="53" t="str">
        <f>'Rack 4'!F85</f>
        <v/>
      </c>
      <c r="L21" s="53" t="str">
        <f>'Rack 4'!F86</f>
        <v/>
      </c>
      <c r="M21" s="53" t="str">
        <f>'Rack 4'!F87</f>
        <v/>
      </c>
      <c r="N21" s="54" t="str">
        <f>'Rack 4'!F88</f>
        <v/>
      </c>
      <c r="O21" s="52" t="str">
        <f>'Rack 4'!F90</f>
        <v/>
      </c>
      <c r="P21" s="53" t="str">
        <f>'Rack 4'!F91</f>
        <v/>
      </c>
      <c r="Q21" s="53" t="str">
        <f>'Rack 4'!F92</f>
        <v/>
      </c>
      <c r="R21" s="53" t="str">
        <f>'Rack 4'!F93</f>
        <v/>
      </c>
      <c r="S21" s="53" t="str">
        <f>'Rack 4'!F94</f>
        <v/>
      </c>
      <c r="T21" s="57" t="str">
        <f>'Rack 4'!F95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4'!B98</f>
        <v/>
      </c>
      <c r="D22" s="349"/>
      <c r="E22" s="349"/>
      <c r="F22" s="349"/>
      <c r="G22" s="349"/>
      <c r="H22" s="349"/>
      <c r="I22" s="348" t="str">
        <f>'Rack 4'!B105</f>
        <v/>
      </c>
      <c r="J22" s="349"/>
      <c r="K22" s="349"/>
      <c r="L22" s="349"/>
      <c r="M22" s="349"/>
      <c r="N22" s="349"/>
      <c r="O22" s="348" t="str">
        <f>'Rack 4'!B112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4'!E97</f>
        <v/>
      </c>
      <c r="D24" s="61" t="str">
        <f>'Rack 4'!E98</f>
        <v/>
      </c>
      <c r="E24" s="61" t="str">
        <f>'Rack 4'!E99</f>
        <v/>
      </c>
      <c r="F24" s="61" t="str">
        <f>'Rack 4'!E100</f>
        <v/>
      </c>
      <c r="G24" s="61" t="str">
        <f>'Rack 4'!E101</f>
        <v/>
      </c>
      <c r="H24" s="62" t="str">
        <f>'Rack 4'!E102</f>
        <v/>
      </c>
      <c r="I24" s="60" t="str">
        <f>'Rack 4'!E104</f>
        <v/>
      </c>
      <c r="J24" s="61" t="str">
        <f>'Rack 4'!E105</f>
        <v/>
      </c>
      <c r="K24" s="61" t="str">
        <f>'Rack 4'!E106</f>
        <v/>
      </c>
      <c r="L24" s="61" t="str">
        <f>'Rack 4'!E107</f>
        <v/>
      </c>
      <c r="M24" s="61" t="str">
        <f>'Rack 4'!E108</f>
        <v/>
      </c>
      <c r="N24" s="62" t="str">
        <f>'Rack 4'!E109</f>
        <v/>
      </c>
      <c r="O24" s="60" t="str">
        <f>'Rack 4'!E111</f>
        <v/>
      </c>
      <c r="P24" s="61" t="str">
        <f>'Rack 4'!E112</f>
        <v/>
      </c>
      <c r="Q24" s="61" t="str">
        <f>'Rack 4'!E113</f>
        <v/>
      </c>
      <c r="R24" s="61" t="str">
        <f>'Rack 4'!E114</f>
        <v/>
      </c>
      <c r="S24" s="61" t="str">
        <f>'Rack 4'!E115</f>
        <v/>
      </c>
      <c r="T24" s="63" t="str">
        <f>'Rack 4'!E116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4'!F97</f>
        <v/>
      </c>
      <c r="D26" s="53" t="str">
        <f>'Rack 4'!F98</f>
        <v/>
      </c>
      <c r="E26" s="53" t="str">
        <f>'Rack 4'!F99</f>
        <v/>
      </c>
      <c r="F26" s="53" t="str">
        <f>'Rack 4'!F100</f>
        <v/>
      </c>
      <c r="G26" s="53" t="str">
        <f>'Rack 4'!F101</f>
        <v/>
      </c>
      <c r="H26" s="54" t="str">
        <f>'Rack 4'!F102</f>
        <v/>
      </c>
      <c r="I26" s="52" t="str">
        <f>'Rack 4'!F104</f>
        <v/>
      </c>
      <c r="J26" s="53" t="str">
        <f>'Rack 4'!F105</f>
        <v/>
      </c>
      <c r="K26" s="53" t="str">
        <f>'Rack 4'!F106</f>
        <v/>
      </c>
      <c r="L26" s="53" t="str">
        <f>'Rack 4'!F107</f>
        <v/>
      </c>
      <c r="M26" s="53" t="str">
        <f>'Rack 4'!F108</f>
        <v/>
      </c>
      <c r="N26" s="54" t="str">
        <f>'Rack 4'!F109</f>
        <v/>
      </c>
      <c r="O26" s="52" t="str">
        <f>'Rack 4'!F111</f>
        <v/>
      </c>
      <c r="P26" s="53" t="str">
        <f>'Rack 4'!F112</f>
        <v/>
      </c>
      <c r="Q26" s="53" t="str">
        <f>'Rack 4'!F113</f>
        <v/>
      </c>
      <c r="R26" s="53" t="str">
        <f>'Rack 4'!F114</f>
        <v/>
      </c>
      <c r="S26" s="53" t="str">
        <f>'Rack 4'!F115</f>
        <v/>
      </c>
      <c r="T26" s="57" t="str">
        <f>'Rack 4'!F116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4'!B119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4'!E118</f>
        <v/>
      </c>
      <c r="D30" s="61" t="str">
        <f>'Rack 4'!E119</f>
        <v/>
      </c>
      <c r="E30" s="61" t="str">
        <f>'Rack 4'!E120</f>
        <v/>
      </c>
      <c r="F30" s="61" t="str">
        <f>'Rack 4'!E121</f>
        <v/>
      </c>
      <c r="G30" s="61" t="str">
        <f>'Rack 4'!E122</f>
        <v/>
      </c>
      <c r="H30" s="226" t="str">
        <f>'Rack 4'!E123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4'!F118</f>
        <v/>
      </c>
      <c r="D32" s="53" t="str">
        <f>'Rack 4'!F119</f>
        <v/>
      </c>
      <c r="E32" s="53" t="str">
        <f>'Rack 4'!F120</f>
        <v/>
      </c>
      <c r="F32" s="53" t="str">
        <f>'Rack 4'!F121</f>
        <v/>
      </c>
      <c r="G32" s="53" t="str">
        <f>'Rack 4'!F122</f>
        <v/>
      </c>
      <c r="H32" s="54" t="str">
        <f>'Rack 4'!F123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83" priority="4" stopIfTrue="1">
      <formula>_xlfn.XLOOKUP(B1, ColorLookup_MultiNames,ColorLookup_Colors) = "grey"</formula>
    </cfRule>
    <cfRule type="expression" dxfId="82" priority="5" stopIfTrue="1">
      <formula>_xlfn.XLOOKUP(B1, ColorLookup_MultiNames,ColorLookup_Colors) = "yellow"</formula>
    </cfRule>
    <cfRule type="expression" dxfId="81" priority="6" stopIfTrue="1">
      <formula>_xlfn.XLOOKUP(B1, ColorLookup_MultiNames,ColorLookup_Colors) = "orange"</formula>
    </cfRule>
    <cfRule type="expression" dxfId="80" priority="7" stopIfTrue="1">
      <formula>_xlfn.XLOOKUP(B1, ColorLookup_MultiNames,ColorLookup_Colors) = "brown"</formula>
    </cfRule>
    <cfRule type="expression" dxfId="79" priority="8" stopIfTrue="1">
      <formula>_xlfn.XLOOKUP(B1, ColorLookup_MultiNames,ColorLookup_Colors) = "green"</formula>
    </cfRule>
    <cfRule type="expression" dxfId="78" priority="9" stopIfTrue="1">
      <formula>_xlfn.XLOOKUP(B1, ColorLookup_MultiNames,ColorLookup_Colors) = "red"</formula>
    </cfRule>
    <cfRule type="expression" dxfId="77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76" priority="3" stopIfTrue="1">
      <formula>_xlfn.XLOOKUP(B1, ColorLookup_MultiNames,ColorLookup_Colors) = "purple"</formula>
    </cfRule>
  </conditionalFormatting>
  <conditionalFormatting sqref="C5:T8">
    <cfRule type="cellIs" dxfId="75" priority="2" operator="equal">
      <formula>0</formula>
    </cfRule>
  </conditionalFormatting>
  <conditionalFormatting sqref="C10:T13 C16:T19 C21:T24 C28:H30 B34:N43 B44:D45 C3:T3">
    <cfRule type="cellIs" dxfId="74" priority="11" operator="equal">
      <formula>0</formula>
    </cfRule>
  </conditionalFormatting>
  <conditionalFormatting sqref="C26:T26 C32:H32">
    <cfRule type="cellIs" dxfId="73" priority="12" operator="equal">
      <formula>0</formula>
    </cfRule>
  </conditionalFormatting>
  <conditionalFormatting sqref="I1:T2">
    <cfRule type="cellIs" dxfId="72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4&amp;R&amp;D</oddHeader>
  </headerFooter>
  <rowBreaks count="2" manualBreakCount="2">
    <brk id="13" max="20" man="1"/>
    <brk id="2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2B68-7B23-45E1-BD97-584613FAE31D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customHeight="1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5'!B7</f>
        <v/>
      </c>
      <c r="D1" s="394"/>
      <c r="E1" s="394"/>
      <c r="F1" s="394"/>
      <c r="G1" s="394"/>
      <c r="H1" s="395"/>
      <c r="I1" s="374" t="str">
        <f>'Rack 5'!B14</f>
        <v/>
      </c>
      <c r="J1" s="375"/>
      <c r="K1" s="375"/>
      <c r="L1" s="375"/>
      <c r="M1" s="375"/>
      <c r="N1" s="376"/>
      <c r="O1" s="374" t="str">
        <f>'Rack 5'!B21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5'!E6</f>
        <v/>
      </c>
      <c r="D3" s="51" t="str">
        <f>'Rack 5'!E7</f>
        <v/>
      </c>
      <c r="E3" s="51" t="str">
        <f>'Rack 5'!E8</f>
        <v/>
      </c>
      <c r="F3" s="51" t="str">
        <f>'Rack 5'!E9</f>
        <v/>
      </c>
      <c r="G3" s="51" t="str">
        <f>'Rack 5'!E10</f>
        <v/>
      </c>
      <c r="H3" s="55" t="str">
        <f>'Rack 5'!E11</f>
        <v/>
      </c>
      <c r="I3" s="50" t="str">
        <f>'Rack 5'!E13</f>
        <v/>
      </c>
      <c r="J3" s="51" t="str">
        <f>'Rack 5'!E14</f>
        <v/>
      </c>
      <c r="K3" s="51" t="str">
        <f>'Rack 5'!E15</f>
        <v/>
      </c>
      <c r="L3" s="51" t="str">
        <f>'Rack 5'!E16</f>
        <v/>
      </c>
      <c r="M3" s="51" t="str">
        <f>'Rack 5'!E17</f>
        <v/>
      </c>
      <c r="N3" s="55" t="str">
        <f>'Rack 5'!E18</f>
        <v/>
      </c>
      <c r="O3" s="50" t="str">
        <f>'Rack 5'!E20</f>
        <v/>
      </c>
      <c r="P3" s="51" t="str">
        <f>'Rack 5'!E21</f>
        <v/>
      </c>
      <c r="Q3" s="51" t="str">
        <f>'Rack 5'!E22</f>
        <v/>
      </c>
      <c r="R3" s="51" t="str">
        <f>'Rack 5'!E23</f>
        <v/>
      </c>
      <c r="S3" s="51" t="str">
        <f>'Rack 5'!E24</f>
        <v/>
      </c>
      <c r="T3" s="56" t="str">
        <f>'Rack 5'!E25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5'!F6</f>
        <v/>
      </c>
      <c r="D5" s="53" t="str">
        <f>'Rack 5'!F7</f>
        <v/>
      </c>
      <c r="E5" s="53" t="str">
        <f>'Rack 5'!F8</f>
        <v/>
      </c>
      <c r="F5" s="53" t="str">
        <f>'Rack 5'!F9</f>
        <v/>
      </c>
      <c r="G5" s="53" t="str">
        <f>'Rack 5'!F10</f>
        <v/>
      </c>
      <c r="H5" s="54" t="str">
        <f>'Rack 5'!F11</f>
        <v/>
      </c>
      <c r="I5" s="52" t="str">
        <f>'Rack 5'!F13</f>
        <v/>
      </c>
      <c r="J5" s="53" t="str">
        <f>'Rack 5'!F14</f>
        <v/>
      </c>
      <c r="K5" s="53" t="str">
        <f>'Rack 5'!F15</f>
        <v/>
      </c>
      <c r="L5" s="53" t="str">
        <f>'Rack 5'!F16</f>
        <v/>
      </c>
      <c r="M5" s="53" t="str">
        <f>'Rack 5'!F17</f>
        <v/>
      </c>
      <c r="N5" s="54" t="str">
        <f>'Rack 5'!F18</f>
        <v/>
      </c>
      <c r="O5" s="52" t="str">
        <f>'Rack 5'!F20</f>
        <v/>
      </c>
      <c r="P5" s="53" t="str">
        <f>'Rack 5'!F21</f>
        <v/>
      </c>
      <c r="Q5" s="53" t="str">
        <f>'Rack 5'!F22</f>
        <v/>
      </c>
      <c r="R5" s="53" t="str">
        <f>'Rack 5'!F23</f>
        <v/>
      </c>
      <c r="S5" s="53" t="str">
        <f>'Rack 5'!F24</f>
        <v/>
      </c>
      <c r="T5" s="57" t="str">
        <f>'Rack 5'!F25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5'!B28</f>
        <v/>
      </c>
      <c r="D6" s="375"/>
      <c r="E6" s="375"/>
      <c r="F6" s="375"/>
      <c r="G6" s="375"/>
      <c r="H6" s="376"/>
      <c r="I6" s="374" t="str">
        <f>'Rack 5'!B35</f>
        <v/>
      </c>
      <c r="J6" s="375"/>
      <c r="K6" s="375"/>
      <c r="L6" s="375"/>
      <c r="M6" s="375"/>
      <c r="N6" s="376"/>
      <c r="O6" s="374" t="str">
        <f>'Rack 5'!B42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5'!E27</f>
        <v/>
      </c>
      <c r="D8" s="51" t="str">
        <f>'Rack 5'!E28</f>
        <v/>
      </c>
      <c r="E8" s="51" t="str">
        <f>'Rack 5'!E29</f>
        <v/>
      </c>
      <c r="F8" s="51" t="str">
        <f>'Rack 5'!E30</f>
        <v/>
      </c>
      <c r="G8" s="51" t="str">
        <f>'Rack 5'!E31</f>
        <v/>
      </c>
      <c r="H8" s="55" t="str">
        <f>'Rack 5'!E32</f>
        <v/>
      </c>
      <c r="I8" s="50" t="str">
        <f>'Rack 5'!E34</f>
        <v/>
      </c>
      <c r="J8" s="51" t="str">
        <f>'Rack 5'!E35</f>
        <v/>
      </c>
      <c r="K8" s="51" t="str">
        <f>'Rack 5'!E36</f>
        <v/>
      </c>
      <c r="L8" s="51" t="str">
        <f>'Rack 5'!E37</f>
        <v/>
      </c>
      <c r="M8" s="51" t="str">
        <f>'Rack 5'!E38</f>
        <v/>
      </c>
      <c r="N8" s="55" t="str">
        <f>'Rack 5'!E39</f>
        <v/>
      </c>
      <c r="O8" s="50" t="str">
        <f>'Rack 5'!E41</f>
        <v/>
      </c>
      <c r="P8" s="51" t="str">
        <f>'Rack 5'!E42</f>
        <v/>
      </c>
      <c r="Q8" s="51" t="str">
        <f>'Rack 5'!E43</f>
        <v/>
      </c>
      <c r="R8" s="51" t="str">
        <f>'Rack 5'!E44</f>
        <v/>
      </c>
      <c r="S8" s="51" t="str">
        <f>'Rack 5'!E45</f>
        <v/>
      </c>
      <c r="T8" s="56" t="str">
        <f>'Rack 5'!E46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5'!F27</f>
        <v/>
      </c>
      <c r="D10" s="53" t="str">
        <f>'Rack 5'!F28</f>
        <v/>
      </c>
      <c r="E10" s="53" t="str">
        <f>'Rack 5'!F29</f>
        <v/>
      </c>
      <c r="F10" s="53" t="str">
        <f>'Rack 5'!F30</f>
        <v/>
      </c>
      <c r="G10" s="53" t="str">
        <f>'Rack 5'!F31</f>
        <v/>
      </c>
      <c r="H10" s="54" t="str">
        <f>'Rack 5'!F32</f>
        <v/>
      </c>
      <c r="I10" s="52" t="str">
        <f>'Rack 5'!F34</f>
        <v/>
      </c>
      <c r="J10" s="53" t="str">
        <f>'Rack 5'!F35</f>
        <v/>
      </c>
      <c r="K10" s="53" t="str">
        <f>'Rack 5'!F36</f>
        <v/>
      </c>
      <c r="L10" s="53" t="str">
        <f>'Rack 5'!F37</f>
        <v/>
      </c>
      <c r="M10" s="53" t="str">
        <f>'Rack 5'!F38</f>
        <v/>
      </c>
      <c r="N10" s="54" t="str">
        <f>'Rack 5'!F39</f>
        <v/>
      </c>
      <c r="O10" s="58" t="str">
        <f>'Rack 5'!F41</f>
        <v/>
      </c>
      <c r="P10" s="48" t="str">
        <f>'Rack 5'!F42</f>
        <v/>
      </c>
      <c r="Q10" s="48" t="str">
        <f>'Rack 5'!F43</f>
        <v/>
      </c>
      <c r="R10" s="48" t="str">
        <f>'Rack 5'!F44</f>
        <v/>
      </c>
      <c r="S10" s="48" t="str">
        <f>'Rack 5'!F45</f>
        <v/>
      </c>
      <c r="T10" s="59" t="str">
        <f>'Rack 5'!F46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5'!B49</f>
        <v/>
      </c>
      <c r="D11" s="400"/>
      <c r="E11" s="400"/>
      <c r="F11" s="400"/>
      <c r="G11" s="400"/>
      <c r="H11" s="400"/>
      <c r="I11" s="401" t="str">
        <f>'Rack 5'!B56</f>
        <v/>
      </c>
      <c r="J11" s="402"/>
      <c r="K11" s="402"/>
      <c r="L11" s="402"/>
      <c r="M11" s="402"/>
      <c r="N11" s="402"/>
      <c r="O11" s="374" t="str">
        <f>'Rack 5'!B70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5'!E48</f>
        <v/>
      </c>
      <c r="D13" s="51" t="str">
        <f>'Rack 5'!E49</f>
        <v/>
      </c>
      <c r="E13" s="51" t="str">
        <f>'Rack 5'!E50</f>
        <v/>
      </c>
      <c r="F13" s="51" t="str">
        <f>'Rack 5'!E51</f>
        <v/>
      </c>
      <c r="G13" s="51" t="str">
        <f>'Rack 5'!E52</f>
        <v/>
      </c>
      <c r="H13" s="55" t="str">
        <f>'Rack 5'!E53</f>
        <v/>
      </c>
      <c r="I13" s="50" t="str">
        <f>'Rack 5'!E55</f>
        <v/>
      </c>
      <c r="J13" s="51" t="str">
        <f>'Rack 5'!E56</f>
        <v/>
      </c>
      <c r="K13" s="51" t="str">
        <f>'Rack 5'!E57</f>
        <v/>
      </c>
      <c r="L13" s="51" t="str">
        <f>'Rack 5'!E58</f>
        <v/>
      </c>
      <c r="M13" s="51" t="str">
        <f>'Rack 5'!E59</f>
        <v/>
      </c>
      <c r="N13" s="55" t="str">
        <f>'Rack 5'!E60</f>
        <v/>
      </c>
      <c r="O13" s="50" t="str">
        <f>'Rack 5'!E69</f>
        <v/>
      </c>
      <c r="P13" s="51" t="str">
        <f>'Rack 5'!E70</f>
        <v/>
      </c>
      <c r="Q13" s="51" t="str">
        <f>'Rack 5'!E71</f>
        <v/>
      </c>
      <c r="R13" s="51" t="str">
        <f>'Rack 5'!E72</f>
        <v/>
      </c>
      <c r="S13" s="51" t="str">
        <f>'Rack 5'!E73</f>
        <v/>
      </c>
      <c r="T13" s="56" t="str">
        <f>'Rack 5'!E74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5'!F48</f>
        <v/>
      </c>
      <c r="D16" s="53" t="str">
        <f>'Rack 5'!F49</f>
        <v/>
      </c>
      <c r="E16" s="53" t="str">
        <f>'Rack 5'!F50</f>
        <v/>
      </c>
      <c r="F16" s="53" t="str">
        <f>'Rack 5'!F51</f>
        <v/>
      </c>
      <c r="G16" s="53" t="str">
        <f>'Rack 5'!F52</f>
        <v/>
      </c>
      <c r="H16" s="54" t="str">
        <f>'Rack 5'!F53</f>
        <v/>
      </c>
      <c r="I16" s="52" t="str">
        <f>'Rack 5'!F55</f>
        <v/>
      </c>
      <c r="J16" s="53" t="str">
        <f>'Rack 5'!F56</f>
        <v/>
      </c>
      <c r="K16" s="53" t="str">
        <f>'Rack 5'!F57</f>
        <v/>
      </c>
      <c r="L16" s="53" t="str">
        <f>'Rack 5'!F58</f>
        <v/>
      </c>
      <c r="M16" s="53" t="str">
        <f>'Rack 5'!F59</f>
        <v/>
      </c>
      <c r="N16" s="54" t="str">
        <f>'Rack 5'!F60</f>
        <v/>
      </c>
      <c r="O16" s="52" t="str">
        <f>'Rack 5'!F69</f>
        <v/>
      </c>
      <c r="P16" s="53" t="str">
        <f>'Rack 5'!F70</f>
        <v/>
      </c>
      <c r="Q16" s="53" t="str">
        <f>'Rack 5'!F71</f>
        <v/>
      </c>
      <c r="R16" s="53" t="str">
        <f>'Rack 5'!F72</f>
        <v/>
      </c>
      <c r="S16" s="53" t="str">
        <f>'Rack 5'!F73</f>
        <v/>
      </c>
      <c r="T16" s="57" t="str">
        <f>'Rack 5'!F74</f>
        <v/>
      </c>
      <c r="U16" s="34"/>
    </row>
    <row r="17" spans="1:21" ht="33.9" customHeight="1" thickTop="1">
      <c r="A17" s="16"/>
      <c r="B17" s="341" t="s">
        <v>47</v>
      </c>
      <c r="C17" s="342" t="str">
        <f>'Rack 5'!B77</f>
        <v/>
      </c>
      <c r="D17" s="343"/>
      <c r="E17" s="343"/>
      <c r="F17" s="343"/>
      <c r="G17" s="343"/>
      <c r="H17" s="343"/>
      <c r="I17" s="342" t="str">
        <f>'Rack 5'!B84</f>
        <v/>
      </c>
      <c r="J17" s="343"/>
      <c r="K17" s="343"/>
      <c r="L17" s="343"/>
      <c r="M17" s="343"/>
      <c r="N17" s="343"/>
      <c r="O17" s="342" t="str">
        <f>'Rack 5'!B91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5'!E76</f>
        <v/>
      </c>
      <c r="D19" s="51" t="str">
        <f>'Rack 5'!E77</f>
        <v/>
      </c>
      <c r="E19" s="51" t="str">
        <f>'Rack 5'!E78</f>
        <v/>
      </c>
      <c r="F19" s="51" t="str">
        <f>'Rack 5'!E79</f>
        <v/>
      </c>
      <c r="G19" s="51" t="str">
        <f>'Rack 5'!E80</f>
        <v/>
      </c>
      <c r="H19" s="55" t="str">
        <f>'Rack 5'!E81</f>
        <v/>
      </c>
      <c r="I19" s="50" t="str">
        <f>'Rack 5'!E83</f>
        <v/>
      </c>
      <c r="J19" s="51" t="str">
        <f>'Rack 5'!E84</f>
        <v/>
      </c>
      <c r="K19" s="51" t="str">
        <f>'Rack 5'!E85</f>
        <v/>
      </c>
      <c r="L19" s="51" t="str">
        <f>'Rack 5'!E86</f>
        <v/>
      </c>
      <c r="M19" s="51" t="str">
        <f>'Rack 5'!E87</f>
        <v/>
      </c>
      <c r="N19" s="55" t="str">
        <f>'Rack 5'!E88</f>
        <v/>
      </c>
      <c r="O19" s="50" t="str">
        <f>'Rack 5'!E90</f>
        <v/>
      </c>
      <c r="P19" s="51" t="str">
        <f>'Rack 5'!E91</f>
        <v/>
      </c>
      <c r="Q19" s="51" t="str">
        <f>'Rack 5'!E92</f>
        <v/>
      </c>
      <c r="R19" s="51" t="str">
        <f>'Rack 5'!E93</f>
        <v/>
      </c>
      <c r="S19" s="51" t="str">
        <f>'Rack 5'!E94</f>
        <v/>
      </c>
      <c r="T19" s="56" t="str">
        <f>'Rack 5'!E95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5'!F76</f>
        <v/>
      </c>
      <c r="D21" s="53" t="str">
        <f>'Rack 5'!F77</f>
        <v/>
      </c>
      <c r="E21" s="53" t="str">
        <f>'Rack 5'!F78</f>
        <v/>
      </c>
      <c r="F21" s="53" t="str">
        <f>'Rack 5'!F79</f>
        <v/>
      </c>
      <c r="G21" s="53" t="str">
        <f>'Rack 5'!F80</f>
        <v/>
      </c>
      <c r="H21" s="54" t="str">
        <f>'Rack 5'!F81</f>
        <v/>
      </c>
      <c r="I21" s="52" t="str">
        <f>'Rack 5'!F83</f>
        <v/>
      </c>
      <c r="J21" s="53" t="str">
        <f>'Rack 5'!F84</f>
        <v/>
      </c>
      <c r="K21" s="53" t="str">
        <f>'Rack 5'!F85</f>
        <v/>
      </c>
      <c r="L21" s="53" t="str">
        <f>'Rack 5'!F86</f>
        <v/>
      </c>
      <c r="M21" s="53" t="str">
        <f>'Rack 5'!F87</f>
        <v/>
      </c>
      <c r="N21" s="54" t="str">
        <f>'Rack 5'!F88</f>
        <v/>
      </c>
      <c r="O21" s="52" t="str">
        <f>'Rack 5'!F90</f>
        <v/>
      </c>
      <c r="P21" s="53" t="str">
        <f>'Rack 5'!F91</f>
        <v/>
      </c>
      <c r="Q21" s="53" t="str">
        <f>'Rack 5'!F92</f>
        <v/>
      </c>
      <c r="R21" s="53" t="str">
        <f>'Rack 5'!F93</f>
        <v/>
      </c>
      <c r="S21" s="53" t="str">
        <f>'Rack 5'!F94</f>
        <v/>
      </c>
      <c r="T21" s="57" t="str">
        <f>'Rack 5'!F95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5'!B98</f>
        <v/>
      </c>
      <c r="D22" s="349"/>
      <c r="E22" s="349"/>
      <c r="F22" s="349"/>
      <c r="G22" s="349"/>
      <c r="H22" s="349"/>
      <c r="I22" s="348" t="str">
        <f>'Rack 5'!B105</f>
        <v/>
      </c>
      <c r="J22" s="349"/>
      <c r="K22" s="349"/>
      <c r="L22" s="349"/>
      <c r="M22" s="349"/>
      <c r="N22" s="349"/>
      <c r="O22" s="348" t="str">
        <f>'Rack 5'!B112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5'!E97</f>
        <v/>
      </c>
      <c r="D24" s="61" t="str">
        <f>'Rack 5'!E98</f>
        <v/>
      </c>
      <c r="E24" s="61" t="str">
        <f>'Rack 5'!E99</f>
        <v/>
      </c>
      <c r="F24" s="61" t="str">
        <f>'Rack 5'!E100</f>
        <v/>
      </c>
      <c r="G24" s="61" t="str">
        <f>'Rack 5'!E101</f>
        <v/>
      </c>
      <c r="H24" s="62" t="str">
        <f>'Rack 5'!E102</f>
        <v/>
      </c>
      <c r="I24" s="60" t="str">
        <f>'Rack 5'!E104</f>
        <v/>
      </c>
      <c r="J24" s="61" t="str">
        <f>'Rack 5'!E105</f>
        <v/>
      </c>
      <c r="K24" s="61" t="str">
        <f>'Rack 5'!E106</f>
        <v/>
      </c>
      <c r="L24" s="61" t="str">
        <f>'Rack 5'!E107</f>
        <v/>
      </c>
      <c r="M24" s="61" t="str">
        <f>'Rack 5'!E108</f>
        <v/>
      </c>
      <c r="N24" s="62" t="str">
        <f>'Rack 5'!E109</f>
        <v/>
      </c>
      <c r="O24" s="60" t="str">
        <f>'Rack 5'!E111</f>
        <v/>
      </c>
      <c r="P24" s="61" t="str">
        <f>'Rack 5'!E112</f>
        <v/>
      </c>
      <c r="Q24" s="61" t="str">
        <f>'Rack 5'!E113</f>
        <v/>
      </c>
      <c r="R24" s="61" t="str">
        <f>'Rack 5'!E114</f>
        <v/>
      </c>
      <c r="S24" s="61" t="str">
        <f>'Rack 5'!E115</f>
        <v/>
      </c>
      <c r="T24" s="63" t="str">
        <f>'Rack 5'!E116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5'!F97</f>
        <v/>
      </c>
      <c r="D26" s="53" t="str">
        <f>'Rack 5'!F98</f>
        <v/>
      </c>
      <c r="E26" s="53" t="str">
        <f>'Rack 5'!F99</f>
        <v/>
      </c>
      <c r="F26" s="53" t="str">
        <f>'Rack 5'!F100</f>
        <v/>
      </c>
      <c r="G26" s="53" t="str">
        <f>'Rack 5'!F101</f>
        <v/>
      </c>
      <c r="H26" s="54" t="str">
        <f>'Rack 5'!F102</f>
        <v/>
      </c>
      <c r="I26" s="52" t="str">
        <f>'Rack 5'!F104</f>
        <v/>
      </c>
      <c r="J26" s="53" t="str">
        <f>'Rack 5'!F105</f>
        <v/>
      </c>
      <c r="K26" s="53" t="str">
        <f>'Rack 5'!F106</f>
        <v/>
      </c>
      <c r="L26" s="53" t="str">
        <f>'Rack 5'!F107</f>
        <v/>
      </c>
      <c r="M26" s="53" t="str">
        <f>'Rack 5'!F108</f>
        <v/>
      </c>
      <c r="N26" s="54" t="str">
        <f>'Rack 5'!F109</f>
        <v/>
      </c>
      <c r="O26" s="52" t="str">
        <f>'Rack 5'!F111</f>
        <v/>
      </c>
      <c r="P26" s="53" t="str">
        <f>'Rack 5'!F112</f>
        <v/>
      </c>
      <c r="Q26" s="53" t="str">
        <f>'Rack 5'!F113</f>
        <v/>
      </c>
      <c r="R26" s="53" t="str">
        <f>'Rack 5'!F114</f>
        <v/>
      </c>
      <c r="S26" s="53" t="str">
        <f>'Rack 5'!F115</f>
        <v/>
      </c>
      <c r="T26" s="57" t="str">
        <f>'Rack 5'!F116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5'!B119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5'!E118</f>
        <v/>
      </c>
      <c r="D30" s="61" t="str">
        <f>'Rack 5'!E119</f>
        <v/>
      </c>
      <c r="E30" s="61" t="str">
        <f>'Rack 5'!E120</f>
        <v/>
      </c>
      <c r="F30" s="61" t="str">
        <f>'Rack 5'!E121</f>
        <v/>
      </c>
      <c r="G30" s="61" t="str">
        <f>'Rack 5'!E122</f>
        <v/>
      </c>
      <c r="H30" s="226" t="str">
        <f>'Rack 5'!E123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5'!F118</f>
        <v/>
      </c>
      <c r="D32" s="53" t="str">
        <f>'Rack 5'!F119</f>
        <v/>
      </c>
      <c r="E32" s="53" t="str">
        <f>'Rack 5'!F120</f>
        <v/>
      </c>
      <c r="F32" s="53" t="str">
        <f>'Rack 5'!F121</f>
        <v/>
      </c>
      <c r="G32" s="53" t="str">
        <f>'Rack 5'!F122</f>
        <v/>
      </c>
      <c r="H32" s="54" t="str">
        <f>'Rack 5'!F123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71" priority="4" stopIfTrue="1">
      <formula>_xlfn.XLOOKUP(B1, ColorLookup_MultiNames,ColorLookup_Colors) = "grey"</formula>
    </cfRule>
    <cfRule type="expression" dxfId="70" priority="5" stopIfTrue="1">
      <formula>_xlfn.XLOOKUP(B1, ColorLookup_MultiNames,ColorLookup_Colors) = "yellow"</formula>
    </cfRule>
    <cfRule type="expression" dxfId="69" priority="6" stopIfTrue="1">
      <formula>_xlfn.XLOOKUP(B1, ColorLookup_MultiNames,ColorLookup_Colors) = "orange"</formula>
    </cfRule>
    <cfRule type="expression" dxfId="68" priority="7" stopIfTrue="1">
      <formula>_xlfn.XLOOKUP(B1, ColorLookup_MultiNames,ColorLookup_Colors) = "brown"</formula>
    </cfRule>
    <cfRule type="expression" dxfId="67" priority="8" stopIfTrue="1">
      <formula>_xlfn.XLOOKUP(B1, ColorLookup_MultiNames,ColorLookup_Colors) = "green"</formula>
    </cfRule>
    <cfRule type="expression" dxfId="66" priority="9" stopIfTrue="1">
      <formula>_xlfn.XLOOKUP(B1, ColorLookup_MultiNames,ColorLookup_Colors) = "red"</formula>
    </cfRule>
    <cfRule type="expression" dxfId="65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64" priority="3" stopIfTrue="1">
      <formula>_xlfn.XLOOKUP(B1, ColorLookup_MultiNames,ColorLookup_Colors) = "purple"</formula>
    </cfRule>
  </conditionalFormatting>
  <conditionalFormatting sqref="C5:T8">
    <cfRule type="cellIs" dxfId="63" priority="2" operator="equal">
      <formula>0</formula>
    </cfRule>
  </conditionalFormatting>
  <conditionalFormatting sqref="C10:T13 C16:T19 C21:T24 C28:H30 B34:N43 B44:D45 C3:T3">
    <cfRule type="cellIs" dxfId="62" priority="11" operator="equal">
      <formula>0</formula>
    </cfRule>
  </conditionalFormatting>
  <conditionalFormatting sqref="C26:T26 C32:H32">
    <cfRule type="cellIs" dxfId="61" priority="12" operator="equal">
      <formula>0</formula>
    </cfRule>
  </conditionalFormatting>
  <conditionalFormatting sqref="I1:T2">
    <cfRule type="cellIs" dxfId="60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5&amp;R&amp;D</oddHeader>
  </headerFooter>
  <rowBreaks count="2" manualBreakCount="2">
    <brk id="13" max="20" man="1"/>
    <brk id="2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AA5F-F516-49CE-96E6-634E3B11DB7A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6'!B7</f>
        <v/>
      </c>
      <c r="D1" s="394"/>
      <c r="E1" s="394"/>
      <c r="F1" s="394"/>
      <c r="G1" s="394"/>
      <c r="H1" s="395"/>
      <c r="I1" s="374" t="str">
        <f>'Rack 6'!B14</f>
        <v/>
      </c>
      <c r="J1" s="375"/>
      <c r="K1" s="375"/>
      <c r="L1" s="375"/>
      <c r="M1" s="375"/>
      <c r="N1" s="376"/>
      <c r="O1" s="374" t="str">
        <f>'Rack 6'!B21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6'!E6</f>
        <v/>
      </c>
      <c r="D3" s="51" t="str">
        <f>'Rack 6'!E7</f>
        <v/>
      </c>
      <c r="E3" s="51" t="str">
        <f>'Rack 6'!E8</f>
        <v/>
      </c>
      <c r="F3" s="51" t="str">
        <f>'Rack 6'!E9</f>
        <v/>
      </c>
      <c r="G3" s="51" t="str">
        <f>'Rack 6'!E10</f>
        <v/>
      </c>
      <c r="H3" s="55" t="str">
        <f>'Rack 6'!E11</f>
        <v/>
      </c>
      <c r="I3" s="50" t="str">
        <f>'Rack 6'!E13</f>
        <v/>
      </c>
      <c r="J3" s="51" t="str">
        <f>'Rack 6'!E14</f>
        <v/>
      </c>
      <c r="K3" s="51" t="str">
        <f>'Rack 6'!E15</f>
        <v/>
      </c>
      <c r="L3" s="51" t="str">
        <f>'Rack 6'!E16</f>
        <v/>
      </c>
      <c r="M3" s="51" t="str">
        <f>'Rack 6'!E17</f>
        <v/>
      </c>
      <c r="N3" s="55" t="str">
        <f>'Rack 6'!E18</f>
        <v/>
      </c>
      <c r="O3" s="50" t="str">
        <f>'Rack 6'!E20</f>
        <v/>
      </c>
      <c r="P3" s="51" t="str">
        <f>'Rack 6'!E21</f>
        <v/>
      </c>
      <c r="Q3" s="51" t="str">
        <f>'Rack 6'!E22</f>
        <v/>
      </c>
      <c r="R3" s="51" t="str">
        <f>'Rack 6'!E23</f>
        <v/>
      </c>
      <c r="S3" s="51" t="str">
        <f>'Rack 6'!E24</f>
        <v/>
      </c>
      <c r="T3" s="56" t="str">
        <f>'Rack 6'!E25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6'!F6</f>
        <v/>
      </c>
      <c r="D5" s="53" t="str">
        <f>'Rack 6'!F7</f>
        <v/>
      </c>
      <c r="E5" s="53" t="str">
        <f>'Rack 6'!F8</f>
        <v/>
      </c>
      <c r="F5" s="53" t="str">
        <f>'Rack 6'!F9</f>
        <v/>
      </c>
      <c r="G5" s="53" t="str">
        <f>'Rack 6'!F10</f>
        <v/>
      </c>
      <c r="H5" s="54" t="str">
        <f>'Rack 6'!F11</f>
        <v/>
      </c>
      <c r="I5" s="52" t="str">
        <f>'Rack 6'!F13</f>
        <v/>
      </c>
      <c r="J5" s="53" t="str">
        <f>'Rack 6'!F14</f>
        <v/>
      </c>
      <c r="K5" s="53" t="str">
        <f>'Rack 6'!F15</f>
        <v/>
      </c>
      <c r="L5" s="53" t="str">
        <f>'Rack 6'!F16</f>
        <v/>
      </c>
      <c r="M5" s="53" t="str">
        <f>'Rack 6'!F17</f>
        <v/>
      </c>
      <c r="N5" s="54" t="str">
        <f>'Rack 6'!F18</f>
        <v/>
      </c>
      <c r="O5" s="52" t="str">
        <f>'Rack 6'!F20</f>
        <v/>
      </c>
      <c r="P5" s="53" t="str">
        <f>'Rack 6'!F21</f>
        <v/>
      </c>
      <c r="Q5" s="53" t="str">
        <f>'Rack 6'!F22</f>
        <v/>
      </c>
      <c r="R5" s="53" t="str">
        <f>'Rack 6'!F23</f>
        <v/>
      </c>
      <c r="S5" s="53" t="str">
        <f>'Rack 6'!F24</f>
        <v/>
      </c>
      <c r="T5" s="57" t="str">
        <f>'Rack 6'!F25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6'!B28</f>
        <v/>
      </c>
      <c r="D6" s="375"/>
      <c r="E6" s="375"/>
      <c r="F6" s="375"/>
      <c r="G6" s="375"/>
      <c r="H6" s="376"/>
      <c r="I6" s="374" t="str">
        <f>'Rack 6'!B35</f>
        <v/>
      </c>
      <c r="J6" s="375"/>
      <c r="K6" s="375"/>
      <c r="L6" s="375"/>
      <c r="M6" s="375"/>
      <c r="N6" s="376"/>
      <c r="O6" s="374" t="str">
        <f>'Rack 6'!B42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6'!E27</f>
        <v/>
      </c>
      <c r="D8" s="51" t="str">
        <f>'Rack 6'!E28</f>
        <v/>
      </c>
      <c r="E8" s="51" t="str">
        <f>'Rack 6'!E29</f>
        <v/>
      </c>
      <c r="F8" s="51" t="str">
        <f>'Rack 6'!E30</f>
        <v/>
      </c>
      <c r="G8" s="51" t="str">
        <f>'Rack 6'!E31</f>
        <v/>
      </c>
      <c r="H8" s="55" t="str">
        <f>'Rack 6'!E32</f>
        <v/>
      </c>
      <c r="I8" s="50" t="str">
        <f>'Rack 6'!E34</f>
        <v/>
      </c>
      <c r="J8" s="51" t="str">
        <f>'Rack 6'!E35</f>
        <v/>
      </c>
      <c r="K8" s="51" t="str">
        <f>'Rack 6'!E36</f>
        <v/>
      </c>
      <c r="L8" s="51" t="str">
        <f>'Rack 6'!E37</f>
        <v/>
      </c>
      <c r="M8" s="51" t="str">
        <f>'Rack 6'!E38</f>
        <v/>
      </c>
      <c r="N8" s="55" t="str">
        <f>'Rack 6'!E39</f>
        <v/>
      </c>
      <c r="O8" s="50" t="str">
        <f>'Rack 6'!E41</f>
        <v/>
      </c>
      <c r="P8" s="51" t="str">
        <f>'Rack 6'!E42</f>
        <v/>
      </c>
      <c r="Q8" s="51" t="str">
        <f>'Rack 6'!E43</f>
        <v/>
      </c>
      <c r="R8" s="51" t="str">
        <f>'Rack 6'!E44</f>
        <v/>
      </c>
      <c r="S8" s="51" t="str">
        <f>'Rack 6'!E45</f>
        <v/>
      </c>
      <c r="T8" s="56" t="str">
        <f>'Rack 6'!E46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6'!F27</f>
        <v/>
      </c>
      <c r="D10" s="53" t="str">
        <f>'Rack 6'!F28</f>
        <v/>
      </c>
      <c r="E10" s="53" t="str">
        <f>'Rack 6'!F29</f>
        <v/>
      </c>
      <c r="F10" s="53" t="str">
        <f>'Rack 6'!F30</f>
        <v/>
      </c>
      <c r="G10" s="53" t="str">
        <f>'Rack 6'!F31</f>
        <v/>
      </c>
      <c r="H10" s="54" t="str">
        <f>'Rack 6'!F32</f>
        <v/>
      </c>
      <c r="I10" s="52" t="str">
        <f>'Rack 6'!F34</f>
        <v/>
      </c>
      <c r="J10" s="53" t="str">
        <f>'Rack 6'!F35</f>
        <v/>
      </c>
      <c r="K10" s="53" t="str">
        <f>'Rack 6'!F36</f>
        <v/>
      </c>
      <c r="L10" s="53" t="str">
        <f>'Rack 6'!F37</f>
        <v/>
      </c>
      <c r="M10" s="53" t="str">
        <f>'Rack 6'!F38</f>
        <v/>
      </c>
      <c r="N10" s="54" t="str">
        <f>'Rack 6'!F39</f>
        <v/>
      </c>
      <c r="O10" s="58" t="str">
        <f>'Rack 6'!F41</f>
        <v/>
      </c>
      <c r="P10" s="48" t="str">
        <f>'Rack 6'!F42</f>
        <v/>
      </c>
      <c r="Q10" s="48" t="str">
        <f>'Rack 6'!F43</f>
        <v/>
      </c>
      <c r="R10" s="48" t="str">
        <f>'Rack 6'!F44</f>
        <v/>
      </c>
      <c r="S10" s="48" t="str">
        <f>'Rack 6'!F45</f>
        <v/>
      </c>
      <c r="T10" s="59" t="str">
        <f>'Rack 6'!F46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6'!B49</f>
        <v/>
      </c>
      <c r="D11" s="400"/>
      <c r="E11" s="400"/>
      <c r="F11" s="400"/>
      <c r="G11" s="400"/>
      <c r="H11" s="400"/>
      <c r="I11" s="401" t="str">
        <f>'Rack 6'!B56</f>
        <v/>
      </c>
      <c r="J11" s="402"/>
      <c r="K11" s="402"/>
      <c r="L11" s="402"/>
      <c r="M11" s="402"/>
      <c r="N11" s="402"/>
      <c r="O11" s="374" t="str">
        <f>'Rack 6'!B70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6'!E48</f>
        <v/>
      </c>
      <c r="D13" s="51" t="str">
        <f>'Rack 6'!E49</f>
        <v/>
      </c>
      <c r="E13" s="51" t="str">
        <f>'Rack 6'!E50</f>
        <v/>
      </c>
      <c r="F13" s="51" t="str">
        <f>'Rack 6'!E51</f>
        <v/>
      </c>
      <c r="G13" s="51" t="str">
        <f>'Rack 6'!E52</f>
        <v/>
      </c>
      <c r="H13" s="55" t="str">
        <f>'Rack 6'!E53</f>
        <v/>
      </c>
      <c r="I13" s="50" t="str">
        <f>'Rack 6'!E55</f>
        <v/>
      </c>
      <c r="J13" s="51" t="str">
        <f>'Rack 6'!E56</f>
        <v/>
      </c>
      <c r="K13" s="51" t="str">
        <f>'Rack 6'!E57</f>
        <v/>
      </c>
      <c r="L13" s="51" t="str">
        <f>'Rack 6'!E58</f>
        <v/>
      </c>
      <c r="M13" s="51" t="str">
        <f>'Rack 6'!E59</f>
        <v/>
      </c>
      <c r="N13" s="55" t="str">
        <f>'Rack 6'!E60</f>
        <v/>
      </c>
      <c r="O13" s="50" t="str">
        <f>'Rack 6'!E69</f>
        <v/>
      </c>
      <c r="P13" s="51" t="str">
        <f>'Rack 6'!E70</f>
        <v/>
      </c>
      <c r="Q13" s="51" t="str">
        <f>'Rack 6'!E71</f>
        <v/>
      </c>
      <c r="R13" s="51" t="str">
        <f>'Rack 6'!E72</f>
        <v/>
      </c>
      <c r="S13" s="51" t="str">
        <f>'Rack 6'!E73</f>
        <v/>
      </c>
      <c r="T13" s="56" t="str">
        <f>'Rack 6'!E74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6'!F48</f>
        <v/>
      </c>
      <c r="D16" s="53" t="str">
        <f>'Rack 6'!F49</f>
        <v/>
      </c>
      <c r="E16" s="53" t="str">
        <f>'Rack 6'!F50</f>
        <v/>
      </c>
      <c r="F16" s="53" t="str">
        <f>'Rack 6'!F51</f>
        <v/>
      </c>
      <c r="G16" s="53" t="str">
        <f>'Rack 6'!F52</f>
        <v/>
      </c>
      <c r="H16" s="54" t="str">
        <f>'Rack 6'!F53</f>
        <v/>
      </c>
      <c r="I16" s="52" t="str">
        <f>'Rack 6'!F55</f>
        <v/>
      </c>
      <c r="J16" s="53" t="str">
        <f>'Rack 6'!F56</f>
        <v/>
      </c>
      <c r="K16" s="53" t="str">
        <f>'Rack 6'!F57</f>
        <v/>
      </c>
      <c r="L16" s="53" t="str">
        <f>'Rack 6'!F58</f>
        <v/>
      </c>
      <c r="M16" s="53" t="str">
        <f>'Rack 6'!F59</f>
        <v/>
      </c>
      <c r="N16" s="54" t="str">
        <f>'Rack 6'!F60</f>
        <v/>
      </c>
      <c r="O16" s="52" t="str">
        <f>'Rack 6'!F69</f>
        <v/>
      </c>
      <c r="P16" s="53" t="str">
        <f>'Rack 6'!F70</f>
        <v/>
      </c>
      <c r="Q16" s="53" t="str">
        <f>'Rack 6'!F71</f>
        <v/>
      </c>
      <c r="R16" s="53" t="str">
        <f>'Rack 6'!F72</f>
        <v/>
      </c>
      <c r="S16" s="53" t="str">
        <f>'Rack 6'!F73</f>
        <v/>
      </c>
      <c r="T16" s="57" t="str">
        <f>'Rack 6'!F74</f>
        <v/>
      </c>
      <c r="U16" s="34"/>
    </row>
    <row r="17" spans="1:21" ht="33.9" customHeight="1" thickTop="1">
      <c r="A17" s="16"/>
      <c r="B17" s="341" t="s">
        <v>47</v>
      </c>
      <c r="C17" s="342" t="str">
        <f>'Rack 6'!B77</f>
        <v/>
      </c>
      <c r="D17" s="343"/>
      <c r="E17" s="343"/>
      <c r="F17" s="343"/>
      <c r="G17" s="343"/>
      <c r="H17" s="343"/>
      <c r="I17" s="342" t="str">
        <f>'Rack 6'!B84</f>
        <v/>
      </c>
      <c r="J17" s="343"/>
      <c r="K17" s="343"/>
      <c r="L17" s="343"/>
      <c r="M17" s="343"/>
      <c r="N17" s="343"/>
      <c r="O17" s="342" t="str">
        <f>'Rack 6'!B91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6'!E76</f>
        <v/>
      </c>
      <c r="D19" s="51" t="str">
        <f>'Rack 6'!E77</f>
        <v/>
      </c>
      <c r="E19" s="51" t="str">
        <f>'Rack 6'!E78</f>
        <v/>
      </c>
      <c r="F19" s="51" t="str">
        <f>'Rack 6'!E79</f>
        <v/>
      </c>
      <c r="G19" s="51" t="str">
        <f>'Rack 6'!E80</f>
        <v/>
      </c>
      <c r="H19" s="55" t="str">
        <f>'Rack 6'!E81</f>
        <v/>
      </c>
      <c r="I19" s="50" t="str">
        <f>'Rack 6'!E83</f>
        <v/>
      </c>
      <c r="J19" s="51" t="str">
        <f>'Rack 6'!E84</f>
        <v/>
      </c>
      <c r="K19" s="51" t="str">
        <f>'Rack 6'!E85</f>
        <v/>
      </c>
      <c r="L19" s="51" t="str">
        <f>'Rack 6'!E86</f>
        <v/>
      </c>
      <c r="M19" s="51" t="str">
        <f>'Rack 6'!E87</f>
        <v/>
      </c>
      <c r="N19" s="55" t="str">
        <f>'Rack 6'!E88</f>
        <v/>
      </c>
      <c r="O19" s="50" t="str">
        <f>'Rack 6'!E90</f>
        <v/>
      </c>
      <c r="P19" s="51" t="str">
        <f>'Rack 6'!E91</f>
        <v/>
      </c>
      <c r="Q19" s="51" t="str">
        <f>'Rack 6'!E92</f>
        <v/>
      </c>
      <c r="R19" s="51" t="str">
        <f>'Rack 6'!E93</f>
        <v/>
      </c>
      <c r="S19" s="51" t="str">
        <f>'Rack 6'!E94</f>
        <v/>
      </c>
      <c r="T19" s="56" t="str">
        <f>'Rack 6'!E95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6'!F76</f>
        <v/>
      </c>
      <c r="D21" s="53" t="str">
        <f>'Rack 6'!F77</f>
        <v/>
      </c>
      <c r="E21" s="53" t="str">
        <f>'Rack 6'!F78</f>
        <v/>
      </c>
      <c r="F21" s="53" t="str">
        <f>'Rack 6'!F79</f>
        <v/>
      </c>
      <c r="G21" s="53" t="str">
        <f>'Rack 6'!F80</f>
        <v/>
      </c>
      <c r="H21" s="54" t="str">
        <f>'Rack 6'!F81</f>
        <v/>
      </c>
      <c r="I21" s="52" t="str">
        <f>'Rack 6'!F83</f>
        <v/>
      </c>
      <c r="J21" s="53" t="str">
        <f>'Rack 6'!F84</f>
        <v/>
      </c>
      <c r="K21" s="53" t="str">
        <f>'Rack 6'!F85</f>
        <v/>
      </c>
      <c r="L21" s="53" t="str">
        <f>'Rack 6'!F86</f>
        <v/>
      </c>
      <c r="M21" s="53" t="str">
        <f>'Rack 6'!F87</f>
        <v/>
      </c>
      <c r="N21" s="54" t="str">
        <f>'Rack 6'!F88</f>
        <v/>
      </c>
      <c r="O21" s="52" t="str">
        <f>'Rack 6'!F90</f>
        <v/>
      </c>
      <c r="P21" s="53" t="str">
        <f>'Rack 6'!F91</f>
        <v/>
      </c>
      <c r="Q21" s="53" t="str">
        <f>'Rack 6'!F92</f>
        <v/>
      </c>
      <c r="R21" s="53" t="str">
        <f>'Rack 6'!F93</f>
        <v/>
      </c>
      <c r="S21" s="53" t="str">
        <f>'Rack 6'!F94</f>
        <v/>
      </c>
      <c r="T21" s="57" t="str">
        <f>'Rack 6'!F95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6'!B98</f>
        <v/>
      </c>
      <c r="D22" s="349"/>
      <c r="E22" s="349"/>
      <c r="F22" s="349"/>
      <c r="G22" s="349"/>
      <c r="H22" s="349"/>
      <c r="I22" s="348" t="str">
        <f>'Rack 6'!B105</f>
        <v/>
      </c>
      <c r="J22" s="349"/>
      <c r="K22" s="349"/>
      <c r="L22" s="349"/>
      <c r="M22" s="349"/>
      <c r="N22" s="349"/>
      <c r="O22" s="348" t="str">
        <f>'Rack 6'!B112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6'!E97</f>
        <v/>
      </c>
      <c r="D24" s="61" t="str">
        <f>'Rack 6'!E98</f>
        <v/>
      </c>
      <c r="E24" s="61" t="str">
        <f>'Rack 6'!E99</f>
        <v/>
      </c>
      <c r="F24" s="61" t="str">
        <f>'Rack 6'!E100</f>
        <v/>
      </c>
      <c r="G24" s="61" t="str">
        <f>'Rack 6'!E101</f>
        <v/>
      </c>
      <c r="H24" s="62" t="str">
        <f>'Rack 6'!E102</f>
        <v/>
      </c>
      <c r="I24" s="60" t="str">
        <f>'Rack 6'!E104</f>
        <v/>
      </c>
      <c r="J24" s="61" t="str">
        <f>'Rack 6'!E105</f>
        <v/>
      </c>
      <c r="K24" s="61" t="str">
        <f>'Rack 6'!E106</f>
        <v/>
      </c>
      <c r="L24" s="61" t="str">
        <f>'Rack 6'!E107</f>
        <v/>
      </c>
      <c r="M24" s="61" t="str">
        <f>'Rack 6'!E108</f>
        <v/>
      </c>
      <c r="N24" s="62" t="str">
        <f>'Rack 6'!E109</f>
        <v/>
      </c>
      <c r="O24" s="60" t="str">
        <f>'Rack 6'!E111</f>
        <v/>
      </c>
      <c r="P24" s="61" t="str">
        <f>'Rack 6'!E112</f>
        <v/>
      </c>
      <c r="Q24" s="61" t="str">
        <f>'Rack 6'!E113</f>
        <v/>
      </c>
      <c r="R24" s="61" t="str">
        <f>'Rack 6'!E114</f>
        <v/>
      </c>
      <c r="S24" s="61" t="str">
        <f>'Rack 6'!E115</f>
        <v/>
      </c>
      <c r="T24" s="63" t="str">
        <f>'Rack 6'!E116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6'!F97</f>
        <v/>
      </c>
      <c r="D26" s="53" t="str">
        <f>'Rack 6'!F98</f>
        <v/>
      </c>
      <c r="E26" s="53" t="str">
        <f>'Rack 6'!F99</f>
        <v/>
      </c>
      <c r="F26" s="53" t="str">
        <f>'Rack 6'!F100</f>
        <v/>
      </c>
      <c r="G26" s="53" t="str">
        <f>'Rack 6'!F101</f>
        <v/>
      </c>
      <c r="H26" s="54" t="str">
        <f>'Rack 6'!F102</f>
        <v/>
      </c>
      <c r="I26" s="52" t="str">
        <f>'Rack 6'!F104</f>
        <v/>
      </c>
      <c r="J26" s="53" t="str">
        <f>'Rack 6'!F105</f>
        <v/>
      </c>
      <c r="K26" s="53" t="str">
        <f>'Rack 6'!F106</f>
        <v/>
      </c>
      <c r="L26" s="53" t="str">
        <f>'Rack 6'!F107</f>
        <v/>
      </c>
      <c r="M26" s="53" t="str">
        <f>'Rack 6'!F108</f>
        <v/>
      </c>
      <c r="N26" s="54" t="str">
        <f>'Rack 6'!F109</f>
        <v/>
      </c>
      <c r="O26" s="52" t="str">
        <f>'Rack 6'!F111</f>
        <v/>
      </c>
      <c r="P26" s="53" t="str">
        <f>'Rack 6'!F112</f>
        <v/>
      </c>
      <c r="Q26" s="53" t="str">
        <f>'Rack 6'!F113</f>
        <v/>
      </c>
      <c r="R26" s="53" t="str">
        <f>'Rack 6'!F114</f>
        <v/>
      </c>
      <c r="S26" s="53" t="str">
        <f>'Rack 6'!F115</f>
        <v/>
      </c>
      <c r="T26" s="57" t="str">
        <f>'Rack 6'!F116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6'!B119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6'!E118</f>
        <v/>
      </c>
      <c r="D30" s="61" t="str">
        <f>'Rack 6'!E119</f>
        <v/>
      </c>
      <c r="E30" s="61" t="str">
        <f>'Rack 6'!E120</f>
        <v/>
      </c>
      <c r="F30" s="61" t="str">
        <f>'Rack 6'!E121</f>
        <v/>
      </c>
      <c r="G30" s="61" t="str">
        <f>'Rack 6'!E122</f>
        <v/>
      </c>
      <c r="H30" s="226" t="str">
        <f>'Rack 6'!E123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6'!F118</f>
        <v/>
      </c>
      <c r="D32" s="53" t="str">
        <f>'Rack 6'!F119</f>
        <v/>
      </c>
      <c r="E32" s="53" t="str">
        <f>'Rack 6'!F120</f>
        <v/>
      </c>
      <c r="F32" s="53" t="str">
        <f>'Rack 6'!F121</f>
        <v/>
      </c>
      <c r="G32" s="53" t="str">
        <f>'Rack 6'!F122</f>
        <v/>
      </c>
      <c r="H32" s="54" t="str">
        <f>'Rack 6'!F123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59" priority="4" stopIfTrue="1">
      <formula>_xlfn.XLOOKUP(B1, ColorLookup_MultiNames,ColorLookup_Colors) = "grey"</formula>
    </cfRule>
    <cfRule type="expression" dxfId="58" priority="5" stopIfTrue="1">
      <formula>_xlfn.XLOOKUP(B1, ColorLookup_MultiNames,ColorLookup_Colors) = "yellow"</formula>
    </cfRule>
    <cfRule type="expression" dxfId="57" priority="6" stopIfTrue="1">
      <formula>_xlfn.XLOOKUP(B1, ColorLookup_MultiNames,ColorLookup_Colors) = "orange"</formula>
    </cfRule>
    <cfRule type="expression" dxfId="56" priority="7" stopIfTrue="1">
      <formula>_xlfn.XLOOKUP(B1, ColorLookup_MultiNames,ColorLookup_Colors) = "brown"</formula>
    </cfRule>
    <cfRule type="expression" dxfId="55" priority="8" stopIfTrue="1">
      <formula>_xlfn.XLOOKUP(B1, ColorLookup_MultiNames,ColorLookup_Colors) = "green"</formula>
    </cfRule>
    <cfRule type="expression" dxfId="54" priority="9" stopIfTrue="1">
      <formula>_xlfn.XLOOKUP(B1, ColorLookup_MultiNames,ColorLookup_Colors) = "red"</formula>
    </cfRule>
    <cfRule type="expression" dxfId="53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52" priority="3" stopIfTrue="1">
      <formula>_xlfn.XLOOKUP(B1, ColorLookup_MultiNames,ColorLookup_Colors) = "purple"</formula>
    </cfRule>
  </conditionalFormatting>
  <conditionalFormatting sqref="C5:T8">
    <cfRule type="cellIs" dxfId="51" priority="2" operator="equal">
      <formula>0</formula>
    </cfRule>
  </conditionalFormatting>
  <conditionalFormatting sqref="C10:T13 C16:T19 C21:T24 C28:H30 B34:N43 B44:D45 C3:T3">
    <cfRule type="cellIs" dxfId="50" priority="11" operator="equal">
      <formula>0</formula>
    </cfRule>
  </conditionalFormatting>
  <conditionalFormatting sqref="C26:T26 C32:H32">
    <cfRule type="cellIs" dxfId="49" priority="12" operator="equal">
      <formula>0</formula>
    </cfRule>
  </conditionalFormatting>
  <conditionalFormatting sqref="I1:T2">
    <cfRule type="cellIs" dxfId="48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6&amp;R&amp;D</oddHeader>
  </headerFooter>
  <rowBreaks count="2" manualBreakCount="2">
    <brk id="13" max="20" man="1"/>
    <brk id="26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4F01-1E8E-4778-8A5A-861A999AE0B6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customHeight="1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7'!B7</f>
        <v/>
      </c>
      <c r="D1" s="394"/>
      <c r="E1" s="394"/>
      <c r="F1" s="394"/>
      <c r="G1" s="394"/>
      <c r="H1" s="395"/>
      <c r="I1" s="374" t="str">
        <f>'Rack 7'!B14</f>
        <v/>
      </c>
      <c r="J1" s="375"/>
      <c r="K1" s="375"/>
      <c r="L1" s="375"/>
      <c r="M1" s="375"/>
      <c r="N1" s="376"/>
      <c r="O1" s="374" t="str">
        <f>'Rack 7'!B21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7'!E6</f>
        <v/>
      </c>
      <c r="D3" s="51" t="str">
        <f>'Rack 7'!E7</f>
        <v/>
      </c>
      <c r="E3" s="51" t="str">
        <f>'Rack 7'!E8</f>
        <v/>
      </c>
      <c r="F3" s="51" t="str">
        <f>'Rack 7'!E9</f>
        <v/>
      </c>
      <c r="G3" s="51" t="str">
        <f>'Rack 7'!E10</f>
        <v/>
      </c>
      <c r="H3" s="55" t="str">
        <f>'Rack 7'!E11</f>
        <v/>
      </c>
      <c r="I3" s="50" t="str">
        <f>'Rack 7'!E13</f>
        <v/>
      </c>
      <c r="J3" s="51" t="str">
        <f>'Rack 7'!E14</f>
        <v/>
      </c>
      <c r="K3" s="51" t="str">
        <f>'Rack 7'!E15</f>
        <v/>
      </c>
      <c r="L3" s="51" t="str">
        <f>'Rack 7'!E16</f>
        <v/>
      </c>
      <c r="M3" s="51" t="str">
        <f>'Rack 7'!E17</f>
        <v/>
      </c>
      <c r="N3" s="55" t="str">
        <f>'Rack 7'!E18</f>
        <v/>
      </c>
      <c r="O3" s="50" t="str">
        <f>'Rack 7'!E20</f>
        <v/>
      </c>
      <c r="P3" s="51" t="str">
        <f>'Rack 7'!E21</f>
        <v/>
      </c>
      <c r="Q3" s="51" t="str">
        <f>'Rack 7'!E22</f>
        <v/>
      </c>
      <c r="R3" s="51" t="str">
        <f>'Rack 7'!E23</f>
        <v/>
      </c>
      <c r="S3" s="51" t="str">
        <f>'Rack 7'!E24</f>
        <v/>
      </c>
      <c r="T3" s="56" t="str">
        <f>'Rack 7'!E25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7'!F6</f>
        <v/>
      </c>
      <c r="D5" s="53" t="str">
        <f>'Rack 7'!F7</f>
        <v/>
      </c>
      <c r="E5" s="53" t="str">
        <f>'Rack 7'!F8</f>
        <v/>
      </c>
      <c r="F5" s="53" t="str">
        <f>'Rack 7'!F9</f>
        <v/>
      </c>
      <c r="G5" s="53" t="str">
        <f>'Rack 7'!F10</f>
        <v/>
      </c>
      <c r="H5" s="54" t="str">
        <f>'Rack 7'!F11</f>
        <v/>
      </c>
      <c r="I5" s="52" t="str">
        <f>'Rack 7'!F13</f>
        <v/>
      </c>
      <c r="J5" s="53" t="str">
        <f>'Rack 7'!F14</f>
        <v/>
      </c>
      <c r="K5" s="53" t="str">
        <f>'Rack 7'!F15</f>
        <v/>
      </c>
      <c r="L5" s="53" t="str">
        <f>'Rack 7'!F16</f>
        <v/>
      </c>
      <c r="M5" s="53" t="str">
        <f>'Rack 7'!F17</f>
        <v/>
      </c>
      <c r="N5" s="54" t="str">
        <f>'Rack 7'!F18</f>
        <v/>
      </c>
      <c r="O5" s="52" t="str">
        <f>'Rack 7'!F20</f>
        <v/>
      </c>
      <c r="P5" s="53" t="str">
        <f>'Rack 7'!F21</f>
        <v/>
      </c>
      <c r="Q5" s="53" t="str">
        <f>'Rack 7'!F22</f>
        <v/>
      </c>
      <c r="R5" s="53" t="str">
        <f>'Rack 7'!F23</f>
        <v/>
      </c>
      <c r="S5" s="53" t="str">
        <f>'Rack 7'!F24</f>
        <v/>
      </c>
      <c r="T5" s="57" t="str">
        <f>'Rack 7'!F25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7'!B28</f>
        <v/>
      </c>
      <c r="D6" s="375"/>
      <c r="E6" s="375"/>
      <c r="F6" s="375"/>
      <c r="G6" s="375"/>
      <c r="H6" s="376"/>
      <c r="I6" s="374" t="str">
        <f>'Rack 7'!B35</f>
        <v/>
      </c>
      <c r="J6" s="375"/>
      <c r="K6" s="375"/>
      <c r="L6" s="375"/>
      <c r="M6" s="375"/>
      <c r="N6" s="376"/>
      <c r="O6" s="374" t="str">
        <f>'Rack 7'!B42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7'!E27</f>
        <v/>
      </c>
      <c r="D8" s="51" t="str">
        <f>'Rack 7'!E28</f>
        <v/>
      </c>
      <c r="E8" s="51" t="str">
        <f>'Rack 7'!E29</f>
        <v/>
      </c>
      <c r="F8" s="51" t="str">
        <f>'Rack 7'!E30</f>
        <v/>
      </c>
      <c r="G8" s="51" t="str">
        <f>'Rack 7'!E31</f>
        <v/>
      </c>
      <c r="H8" s="55" t="str">
        <f>'Rack 7'!E32</f>
        <v/>
      </c>
      <c r="I8" s="50" t="str">
        <f>'Rack 7'!E34</f>
        <v/>
      </c>
      <c r="J8" s="51" t="str">
        <f>'Rack 7'!E35</f>
        <v/>
      </c>
      <c r="K8" s="51" t="str">
        <f>'Rack 7'!E36</f>
        <v/>
      </c>
      <c r="L8" s="51" t="str">
        <f>'Rack 7'!E37</f>
        <v/>
      </c>
      <c r="M8" s="51" t="str">
        <f>'Rack 7'!E38</f>
        <v/>
      </c>
      <c r="N8" s="55" t="str">
        <f>'Rack 7'!E39</f>
        <v/>
      </c>
      <c r="O8" s="50" t="str">
        <f>'Rack 7'!E41</f>
        <v/>
      </c>
      <c r="P8" s="51" t="str">
        <f>'Rack 7'!E42</f>
        <v/>
      </c>
      <c r="Q8" s="51" t="str">
        <f>'Rack 7'!E43</f>
        <v/>
      </c>
      <c r="R8" s="51" t="str">
        <f>'Rack 7'!E44</f>
        <v/>
      </c>
      <c r="S8" s="51" t="str">
        <f>'Rack 7'!E45</f>
        <v/>
      </c>
      <c r="T8" s="56" t="str">
        <f>'Rack 7'!E46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7'!F27</f>
        <v/>
      </c>
      <c r="D10" s="53" t="str">
        <f>'Rack 7'!F28</f>
        <v/>
      </c>
      <c r="E10" s="53" t="str">
        <f>'Rack 7'!F29</f>
        <v/>
      </c>
      <c r="F10" s="53" t="str">
        <f>'Rack 7'!F30</f>
        <v/>
      </c>
      <c r="G10" s="53" t="str">
        <f>'Rack 7'!F31</f>
        <v/>
      </c>
      <c r="H10" s="54" t="str">
        <f>'Rack 7'!F32</f>
        <v/>
      </c>
      <c r="I10" s="52" t="str">
        <f>'Rack 7'!F34</f>
        <v/>
      </c>
      <c r="J10" s="53" t="str">
        <f>'Rack 7'!F35</f>
        <v/>
      </c>
      <c r="K10" s="53" t="str">
        <f>'Rack 7'!F36</f>
        <v/>
      </c>
      <c r="L10" s="53" t="str">
        <f>'Rack 7'!F37</f>
        <v/>
      </c>
      <c r="M10" s="53" t="str">
        <f>'Rack 7'!F38</f>
        <v/>
      </c>
      <c r="N10" s="54" t="str">
        <f>'Rack 7'!F39</f>
        <v/>
      </c>
      <c r="O10" s="58" t="str">
        <f>'Rack 7'!F41</f>
        <v/>
      </c>
      <c r="P10" s="48" t="str">
        <f>'Rack 7'!F42</f>
        <v/>
      </c>
      <c r="Q10" s="48" t="str">
        <f>'Rack 7'!F43</f>
        <v/>
      </c>
      <c r="R10" s="48" t="str">
        <f>'Rack 7'!F44</f>
        <v/>
      </c>
      <c r="S10" s="48" t="str">
        <f>'Rack 7'!F45</f>
        <v/>
      </c>
      <c r="T10" s="59" t="str">
        <f>'Rack 7'!F46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7'!B49</f>
        <v/>
      </c>
      <c r="D11" s="400"/>
      <c r="E11" s="400"/>
      <c r="F11" s="400"/>
      <c r="G11" s="400"/>
      <c r="H11" s="400"/>
      <c r="I11" s="401" t="str">
        <f>'Rack 7'!B56</f>
        <v/>
      </c>
      <c r="J11" s="402"/>
      <c r="K11" s="402"/>
      <c r="L11" s="402"/>
      <c r="M11" s="402"/>
      <c r="N11" s="402"/>
      <c r="O11" s="374" t="str">
        <f>'Rack 7'!B70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7'!E48</f>
        <v/>
      </c>
      <c r="D13" s="51" t="str">
        <f>'Rack 7'!E49</f>
        <v/>
      </c>
      <c r="E13" s="51" t="str">
        <f>'Rack 7'!E50</f>
        <v/>
      </c>
      <c r="F13" s="51" t="str">
        <f>'Rack 7'!E51</f>
        <v/>
      </c>
      <c r="G13" s="51" t="str">
        <f>'Rack 7'!E52</f>
        <v/>
      </c>
      <c r="H13" s="55" t="str">
        <f>'Rack 7'!E53</f>
        <v/>
      </c>
      <c r="I13" s="50" t="str">
        <f>'Rack 7'!E55</f>
        <v/>
      </c>
      <c r="J13" s="51" t="str">
        <f>'Rack 7'!E56</f>
        <v/>
      </c>
      <c r="K13" s="51" t="str">
        <f>'Rack 7'!E57</f>
        <v/>
      </c>
      <c r="L13" s="51" t="str">
        <f>'Rack 7'!E58</f>
        <v/>
      </c>
      <c r="M13" s="51" t="str">
        <f>'Rack 7'!E59</f>
        <v/>
      </c>
      <c r="N13" s="55" t="str">
        <f>'Rack 7'!E60</f>
        <v/>
      </c>
      <c r="O13" s="50" t="str">
        <f>'Rack 7'!E69</f>
        <v/>
      </c>
      <c r="P13" s="51" t="str">
        <f>'Rack 7'!E70</f>
        <v/>
      </c>
      <c r="Q13" s="51" t="str">
        <f>'Rack 7'!E71</f>
        <v/>
      </c>
      <c r="R13" s="51" t="str">
        <f>'Rack 7'!E72</f>
        <v/>
      </c>
      <c r="S13" s="51" t="str">
        <f>'Rack 7'!E73</f>
        <v/>
      </c>
      <c r="T13" s="56" t="str">
        <f>'Rack 7'!E74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7'!F48</f>
        <v/>
      </c>
      <c r="D16" s="53" t="str">
        <f>'Rack 7'!F49</f>
        <v/>
      </c>
      <c r="E16" s="53" t="str">
        <f>'Rack 7'!F50</f>
        <v/>
      </c>
      <c r="F16" s="53" t="str">
        <f>'Rack 7'!F51</f>
        <v/>
      </c>
      <c r="G16" s="53" t="str">
        <f>'Rack 7'!F52</f>
        <v/>
      </c>
      <c r="H16" s="54" t="str">
        <f>'Rack 7'!F53</f>
        <v/>
      </c>
      <c r="I16" s="52" t="str">
        <f>'Rack 7'!F55</f>
        <v/>
      </c>
      <c r="J16" s="53" t="str">
        <f>'Rack 7'!F56</f>
        <v/>
      </c>
      <c r="K16" s="53" t="str">
        <f>'Rack 7'!F57</f>
        <v/>
      </c>
      <c r="L16" s="53" t="str">
        <f>'Rack 7'!F58</f>
        <v/>
      </c>
      <c r="M16" s="53" t="str">
        <f>'Rack 7'!F59</f>
        <v/>
      </c>
      <c r="N16" s="54" t="str">
        <f>'Rack 7'!F60</f>
        <v/>
      </c>
      <c r="O16" s="52" t="str">
        <f>'Rack 7'!F69</f>
        <v/>
      </c>
      <c r="P16" s="53" t="str">
        <f>'Rack 7'!F70</f>
        <v/>
      </c>
      <c r="Q16" s="53" t="str">
        <f>'Rack 7'!F71</f>
        <v/>
      </c>
      <c r="R16" s="53" t="str">
        <f>'Rack 7'!F72</f>
        <v/>
      </c>
      <c r="S16" s="53" t="str">
        <f>'Rack 7'!F73</f>
        <v/>
      </c>
      <c r="T16" s="57" t="str">
        <f>'Rack 7'!F74</f>
        <v/>
      </c>
      <c r="U16" s="34"/>
    </row>
    <row r="17" spans="1:21" ht="33.9" customHeight="1" thickTop="1">
      <c r="A17" s="16"/>
      <c r="B17" s="341" t="s">
        <v>47</v>
      </c>
      <c r="C17" s="342" t="str">
        <f>'Rack 7'!B77</f>
        <v/>
      </c>
      <c r="D17" s="343"/>
      <c r="E17" s="343"/>
      <c r="F17" s="343"/>
      <c r="G17" s="343"/>
      <c r="H17" s="343"/>
      <c r="I17" s="342" t="str">
        <f>'Rack 7'!B84</f>
        <v/>
      </c>
      <c r="J17" s="343"/>
      <c r="K17" s="343"/>
      <c r="L17" s="343"/>
      <c r="M17" s="343"/>
      <c r="N17" s="343"/>
      <c r="O17" s="342" t="str">
        <f>'Rack 7'!B91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7'!E76</f>
        <v/>
      </c>
      <c r="D19" s="51" t="str">
        <f>'Rack 7'!E77</f>
        <v/>
      </c>
      <c r="E19" s="51" t="str">
        <f>'Rack 7'!E78</f>
        <v/>
      </c>
      <c r="F19" s="51" t="str">
        <f>'Rack 7'!E79</f>
        <v/>
      </c>
      <c r="G19" s="51" t="str">
        <f>'Rack 7'!E80</f>
        <v/>
      </c>
      <c r="H19" s="55" t="str">
        <f>'Rack 7'!E81</f>
        <v/>
      </c>
      <c r="I19" s="50" t="str">
        <f>'Rack 7'!E83</f>
        <v/>
      </c>
      <c r="J19" s="51" t="str">
        <f>'Rack 7'!E84</f>
        <v/>
      </c>
      <c r="K19" s="51" t="str">
        <f>'Rack 7'!E85</f>
        <v/>
      </c>
      <c r="L19" s="51" t="str">
        <f>'Rack 7'!E86</f>
        <v/>
      </c>
      <c r="M19" s="51" t="str">
        <f>'Rack 7'!E87</f>
        <v/>
      </c>
      <c r="N19" s="55" t="str">
        <f>'Rack 7'!E88</f>
        <v/>
      </c>
      <c r="O19" s="50" t="str">
        <f>'Rack 7'!E90</f>
        <v/>
      </c>
      <c r="P19" s="51" t="str">
        <f>'Rack 7'!E91</f>
        <v/>
      </c>
      <c r="Q19" s="51" t="str">
        <f>'Rack 7'!E92</f>
        <v/>
      </c>
      <c r="R19" s="51" t="str">
        <f>'Rack 7'!E93</f>
        <v/>
      </c>
      <c r="S19" s="51" t="str">
        <f>'Rack 7'!E94</f>
        <v/>
      </c>
      <c r="T19" s="56" t="str">
        <f>'Rack 7'!E95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7'!F76</f>
        <v/>
      </c>
      <c r="D21" s="53" t="str">
        <f>'Rack 7'!F77</f>
        <v/>
      </c>
      <c r="E21" s="53" t="str">
        <f>'Rack 7'!F78</f>
        <v/>
      </c>
      <c r="F21" s="53" t="str">
        <f>'Rack 7'!F79</f>
        <v/>
      </c>
      <c r="G21" s="53" t="str">
        <f>'Rack 7'!F80</f>
        <v/>
      </c>
      <c r="H21" s="54" t="str">
        <f>'Rack 7'!F81</f>
        <v/>
      </c>
      <c r="I21" s="52" t="str">
        <f>'Rack 7'!F83</f>
        <v/>
      </c>
      <c r="J21" s="53" t="str">
        <f>'Rack 7'!F84</f>
        <v/>
      </c>
      <c r="K21" s="53" t="str">
        <f>'Rack 7'!F85</f>
        <v/>
      </c>
      <c r="L21" s="53" t="str">
        <f>'Rack 7'!F86</f>
        <v/>
      </c>
      <c r="M21" s="53" t="str">
        <f>'Rack 7'!F87</f>
        <v/>
      </c>
      <c r="N21" s="54" t="str">
        <f>'Rack 7'!F88</f>
        <v/>
      </c>
      <c r="O21" s="52" t="str">
        <f>'Rack 7'!F90</f>
        <v/>
      </c>
      <c r="P21" s="53" t="str">
        <f>'Rack 7'!F91</f>
        <v/>
      </c>
      <c r="Q21" s="53" t="str">
        <f>'Rack 7'!F92</f>
        <v/>
      </c>
      <c r="R21" s="53" t="str">
        <f>'Rack 7'!F93</f>
        <v/>
      </c>
      <c r="S21" s="53" t="str">
        <f>'Rack 7'!F94</f>
        <v/>
      </c>
      <c r="T21" s="57" t="str">
        <f>'Rack 7'!F95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7'!B98</f>
        <v/>
      </c>
      <c r="D22" s="349"/>
      <c r="E22" s="349"/>
      <c r="F22" s="349"/>
      <c r="G22" s="349"/>
      <c r="H22" s="349"/>
      <c r="I22" s="348" t="str">
        <f>'Rack 7'!B105</f>
        <v/>
      </c>
      <c r="J22" s="349"/>
      <c r="K22" s="349"/>
      <c r="L22" s="349"/>
      <c r="M22" s="349"/>
      <c r="N22" s="349"/>
      <c r="O22" s="348" t="str">
        <f>'Rack 7'!B112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7'!E97</f>
        <v/>
      </c>
      <c r="D24" s="61" t="str">
        <f>'Rack 7'!E98</f>
        <v/>
      </c>
      <c r="E24" s="61" t="str">
        <f>'Rack 7'!E99</f>
        <v/>
      </c>
      <c r="F24" s="61" t="str">
        <f>'Rack 7'!E100</f>
        <v/>
      </c>
      <c r="G24" s="61" t="str">
        <f>'Rack 7'!E101</f>
        <v/>
      </c>
      <c r="H24" s="62" t="str">
        <f>'Rack 7'!E102</f>
        <v/>
      </c>
      <c r="I24" s="60" t="str">
        <f>'Rack 7'!E104</f>
        <v/>
      </c>
      <c r="J24" s="61" t="str">
        <f>'Rack 7'!E105</f>
        <v/>
      </c>
      <c r="K24" s="61" t="str">
        <f>'Rack 7'!E106</f>
        <v/>
      </c>
      <c r="L24" s="61" t="str">
        <f>'Rack 7'!E107</f>
        <v/>
      </c>
      <c r="M24" s="61" t="str">
        <f>'Rack 7'!E108</f>
        <v/>
      </c>
      <c r="N24" s="62" t="str">
        <f>'Rack 7'!E109</f>
        <v/>
      </c>
      <c r="O24" s="60" t="str">
        <f>'Rack 7'!E111</f>
        <v/>
      </c>
      <c r="P24" s="61" t="str">
        <f>'Rack 7'!E112</f>
        <v/>
      </c>
      <c r="Q24" s="61" t="str">
        <f>'Rack 7'!E113</f>
        <v/>
      </c>
      <c r="R24" s="61" t="str">
        <f>'Rack 7'!E114</f>
        <v/>
      </c>
      <c r="S24" s="61" t="str">
        <f>'Rack 7'!E115</f>
        <v/>
      </c>
      <c r="T24" s="63" t="str">
        <f>'Rack 7'!E116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7'!F97</f>
        <v/>
      </c>
      <c r="D26" s="53" t="str">
        <f>'Rack 7'!F98</f>
        <v/>
      </c>
      <c r="E26" s="53" t="str">
        <f>'Rack 7'!F99</f>
        <v/>
      </c>
      <c r="F26" s="53" t="str">
        <f>'Rack 7'!F100</f>
        <v/>
      </c>
      <c r="G26" s="53" t="str">
        <f>'Rack 7'!F101</f>
        <v/>
      </c>
      <c r="H26" s="54" t="str">
        <f>'Rack 7'!F102</f>
        <v/>
      </c>
      <c r="I26" s="52" t="str">
        <f>'Rack 7'!F104</f>
        <v/>
      </c>
      <c r="J26" s="53" t="str">
        <f>'Rack 7'!F105</f>
        <v/>
      </c>
      <c r="K26" s="53" t="str">
        <f>'Rack 7'!F106</f>
        <v/>
      </c>
      <c r="L26" s="53" t="str">
        <f>'Rack 7'!F107</f>
        <v/>
      </c>
      <c r="M26" s="53" t="str">
        <f>'Rack 7'!F108</f>
        <v/>
      </c>
      <c r="N26" s="54" t="str">
        <f>'Rack 7'!F109</f>
        <v/>
      </c>
      <c r="O26" s="52" t="str">
        <f>'Rack 7'!F111</f>
        <v/>
      </c>
      <c r="P26" s="53" t="str">
        <f>'Rack 7'!F112</f>
        <v/>
      </c>
      <c r="Q26" s="53" t="str">
        <f>'Rack 7'!F113</f>
        <v/>
      </c>
      <c r="R26" s="53" t="str">
        <f>'Rack 7'!F114</f>
        <v/>
      </c>
      <c r="S26" s="53" t="str">
        <f>'Rack 7'!F115</f>
        <v/>
      </c>
      <c r="T26" s="57" t="str">
        <f>'Rack 7'!F116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7'!B119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7'!E118</f>
        <v/>
      </c>
      <c r="D30" s="61" t="str">
        <f>'Rack 7'!E119</f>
        <v/>
      </c>
      <c r="E30" s="61" t="str">
        <f>'Rack 7'!E120</f>
        <v/>
      </c>
      <c r="F30" s="61" t="str">
        <f>'Rack 7'!E121</f>
        <v/>
      </c>
      <c r="G30" s="61" t="str">
        <f>'Rack 7'!E122</f>
        <v/>
      </c>
      <c r="H30" s="226" t="str">
        <f>'Rack 7'!E123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7'!F118</f>
        <v/>
      </c>
      <c r="D32" s="53" t="str">
        <f>'Rack 7'!F119</f>
        <v/>
      </c>
      <c r="E32" s="53" t="str">
        <f>'Rack 7'!F120</f>
        <v/>
      </c>
      <c r="F32" s="53" t="str">
        <f>'Rack 7'!F121</f>
        <v/>
      </c>
      <c r="G32" s="53" t="str">
        <f>'Rack 7'!F122</f>
        <v/>
      </c>
      <c r="H32" s="54" t="str">
        <f>'Rack 7'!F123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47" priority="4" stopIfTrue="1">
      <formula>_xlfn.XLOOKUP(B1, ColorLookup_MultiNames,ColorLookup_Colors) = "grey"</formula>
    </cfRule>
    <cfRule type="expression" dxfId="46" priority="5" stopIfTrue="1">
      <formula>_xlfn.XLOOKUP(B1, ColorLookup_MultiNames,ColorLookup_Colors) = "yellow"</formula>
    </cfRule>
    <cfRule type="expression" dxfId="45" priority="6" stopIfTrue="1">
      <formula>_xlfn.XLOOKUP(B1, ColorLookup_MultiNames,ColorLookup_Colors) = "orange"</formula>
    </cfRule>
    <cfRule type="expression" dxfId="44" priority="7" stopIfTrue="1">
      <formula>_xlfn.XLOOKUP(B1, ColorLookup_MultiNames,ColorLookup_Colors) = "brown"</formula>
    </cfRule>
    <cfRule type="expression" dxfId="43" priority="8" stopIfTrue="1">
      <formula>_xlfn.XLOOKUP(B1, ColorLookup_MultiNames,ColorLookup_Colors) = "green"</formula>
    </cfRule>
    <cfRule type="expression" dxfId="42" priority="9" stopIfTrue="1">
      <formula>_xlfn.XLOOKUP(B1, ColorLookup_MultiNames,ColorLookup_Colors) = "red"</formula>
    </cfRule>
    <cfRule type="expression" dxfId="41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40" priority="3" stopIfTrue="1">
      <formula>_xlfn.XLOOKUP(B1, ColorLookup_MultiNames,ColorLookup_Colors) = "purple"</formula>
    </cfRule>
  </conditionalFormatting>
  <conditionalFormatting sqref="C5:T8">
    <cfRule type="cellIs" dxfId="39" priority="2" operator="equal">
      <formula>0</formula>
    </cfRule>
  </conditionalFormatting>
  <conditionalFormatting sqref="C10:T13 C16:T19 C21:T24 C28:H30 B34:N43 B44:D45 C3:T3">
    <cfRule type="cellIs" dxfId="38" priority="11" operator="equal">
      <formula>0</formula>
    </cfRule>
  </conditionalFormatting>
  <conditionalFormatting sqref="C26:T26 C32:H32">
    <cfRule type="cellIs" dxfId="37" priority="12" operator="equal">
      <formula>0</formula>
    </cfRule>
  </conditionalFormatting>
  <conditionalFormatting sqref="I1:T2">
    <cfRule type="cellIs" dxfId="36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7&amp;R&amp;D</oddHeader>
  </headerFooter>
  <rowBreaks count="2" manualBreakCount="2">
    <brk id="13" max="20" man="1"/>
    <brk id="2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DD53-10C5-44BD-98A7-551511587086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customHeight="1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8'!B7</f>
        <v/>
      </c>
      <c r="D1" s="394"/>
      <c r="E1" s="394"/>
      <c r="F1" s="394"/>
      <c r="G1" s="394"/>
      <c r="H1" s="395"/>
      <c r="I1" s="374" t="str">
        <f>'Rack 8'!B14</f>
        <v/>
      </c>
      <c r="J1" s="375"/>
      <c r="K1" s="375"/>
      <c r="L1" s="375"/>
      <c r="M1" s="375"/>
      <c r="N1" s="376"/>
      <c r="O1" s="374" t="str">
        <f>'Rack 8'!B21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8'!E6</f>
        <v/>
      </c>
      <c r="D3" s="51" t="str">
        <f>'Rack 8'!E7</f>
        <v/>
      </c>
      <c r="E3" s="51" t="str">
        <f>'Rack 8'!E8</f>
        <v/>
      </c>
      <c r="F3" s="51" t="str">
        <f>'Rack 8'!E9</f>
        <v/>
      </c>
      <c r="G3" s="51" t="str">
        <f>'Rack 8'!E10</f>
        <v/>
      </c>
      <c r="H3" s="55" t="str">
        <f>'Rack 8'!E11</f>
        <v/>
      </c>
      <c r="I3" s="50" t="str">
        <f>'Rack 8'!E13</f>
        <v/>
      </c>
      <c r="J3" s="51" t="str">
        <f>'Rack 8'!E14</f>
        <v/>
      </c>
      <c r="K3" s="51" t="str">
        <f>'Rack 8'!E15</f>
        <v/>
      </c>
      <c r="L3" s="51" t="str">
        <f>'Rack 8'!E16</f>
        <v/>
      </c>
      <c r="M3" s="51" t="str">
        <f>'Rack 8'!E17</f>
        <v/>
      </c>
      <c r="N3" s="55" t="str">
        <f>'Rack 8'!E18</f>
        <v/>
      </c>
      <c r="O3" s="50" t="str">
        <f>'Rack 8'!E20</f>
        <v/>
      </c>
      <c r="P3" s="51" t="str">
        <f>'Rack 8'!E21</f>
        <v/>
      </c>
      <c r="Q3" s="51" t="str">
        <f>'Rack 8'!E22</f>
        <v/>
      </c>
      <c r="R3" s="51" t="str">
        <f>'Rack 8'!E23</f>
        <v/>
      </c>
      <c r="S3" s="51" t="str">
        <f>'Rack 8'!E24</f>
        <v/>
      </c>
      <c r="T3" s="56" t="str">
        <f>'Rack 8'!E25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8'!F6</f>
        <v/>
      </c>
      <c r="D5" s="53" t="str">
        <f>'Rack 8'!F7</f>
        <v/>
      </c>
      <c r="E5" s="53" t="str">
        <f>'Rack 8'!F8</f>
        <v/>
      </c>
      <c r="F5" s="53" t="str">
        <f>'Rack 8'!F9</f>
        <v/>
      </c>
      <c r="G5" s="53" t="str">
        <f>'Rack 8'!F10</f>
        <v/>
      </c>
      <c r="H5" s="54" t="str">
        <f>'Rack 8'!F11</f>
        <v/>
      </c>
      <c r="I5" s="52" t="str">
        <f>'Rack 8'!F13</f>
        <v/>
      </c>
      <c r="J5" s="53" t="str">
        <f>'Rack 8'!F14</f>
        <v/>
      </c>
      <c r="K5" s="53" t="str">
        <f>'Rack 8'!F15</f>
        <v/>
      </c>
      <c r="L5" s="53" t="str">
        <f>'Rack 8'!F16</f>
        <v/>
      </c>
      <c r="M5" s="53" t="str">
        <f>'Rack 8'!F17</f>
        <v/>
      </c>
      <c r="N5" s="54" t="str">
        <f>'Rack 8'!F18</f>
        <v/>
      </c>
      <c r="O5" s="52" t="str">
        <f>'Rack 8'!F20</f>
        <v/>
      </c>
      <c r="P5" s="53" t="str">
        <f>'Rack 8'!F21</f>
        <v/>
      </c>
      <c r="Q5" s="53" t="str">
        <f>'Rack 8'!F22</f>
        <v/>
      </c>
      <c r="R5" s="53" t="str">
        <f>'Rack 8'!F23</f>
        <v/>
      </c>
      <c r="S5" s="53" t="str">
        <f>'Rack 8'!F24</f>
        <v/>
      </c>
      <c r="T5" s="57" t="str">
        <f>'Rack 8'!F25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8'!B28</f>
        <v/>
      </c>
      <c r="D6" s="375"/>
      <c r="E6" s="375"/>
      <c r="F6" s="375"/>
      <c r="G6" s="375"/>
      <c r="H6" s="376"/>
      <c r="I6" s="374" t="str">
        <f>'Rack 8'!B35</f>
        <v/>
      </c>
      <c r="J6" s="375"/>
      <c r="K6" s="375"/>
      <c r="L6" s="375"/>
      <c r="M6" s="375"/>
      <c r="N6" s="376"/>
      <c r="O6" s="374" t="str">
        <f>'Rack 8'!B42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8'!E27</f>
        <v/>
      </c>
      <c r="D8" s="51" t="str">
        <f>'Rack 8'!E28</f>
        <v/>
      </c>
      <c r="E8" s="51" t="str">
        <f>'Rack 8'!E29</f>
        <v/>
      </c>
      <c r="F8" s="51" t="str">
        <f>'Rack 8'!E30</f>
        <v/>
      </c>
      <c r="G8" s="51" t="str">
        <f>'Rack 8'!E31</f>
        <v/>
      </c>
      <c r="H8" s="55" t="str">
        <f>'Rack 8'!E32</f>
        <v/>
      </c>
      <c r="I8" s="50" t="str">
        <f>'Rack 8'!E34</f>
        <v/>
      </c>
      <c r="J8" s="51" t="str">
        <f>'Rack 8'!E35</f>
        <v/>
      </c>
      <c r="K8" s="51" t="str">
        <f>'Rack 8'!E36</f>
        <v/>
      </c>
      <c r="L8" s="51" t="str">
        <f>'Rack 8'!E37</f>
        <v/>
      </c>
      <c r="M8" s="51" t="str">
        <f>'Rack 8'!E38</f>
        <v/>
      </c>
      <c r="N8" s="55" t="str">
        <f>'Rack 8'!E39</f>
        <v/>
      </c>
      <c r="O8" s="50" t="str">
        <f>'Rack 8'!E41</f>
        <v/>
      </c>
      <c r="P8" s="51" t="str">
        <f>'Rack 8'!E42</f>
        <v/>
      </c>
      <c r="Q8" s="51" t="str">
        <f>'Rack 8'!E43</f>
        <v/>
      </c>
      <c r="R8" s="51" t="str">
        <f>'Rack 8'!E44</f>
        <v/>
      </c>
      <c r="S8" s="51" t="str">
        <f>'Rack 8'!E45</f>
        <v/>
      </c>
      <c r="T8" s="56" t="str">
        <f>'Rack 8'!E46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8'!F27</f>
        <v/>
      </c>
      <c r="D10" s="53" t="str">
        <f>'Rack 8'!F28</f>
        <v/>
      </c>
      <c r="E10" s="53" t="str">
        <f>'Rack 8'!F29</f>
        <v/>
      </c>
      <c r="F10" s="53" t="str">
        <f>'Rack 8'!F30</f>
        <v/>
      </c>
      <c r="G10" s="53" t="str">
        <f>'Rack 8'!F31</f>
        <v/>
      </c>
      <c r="H10" s="54" t="str">
        <f>'Rack 8'!F32</f>
        <v/>
      </c>
      <c r="I10" s="52" t="str">
        <f>'Rack 8'!F34</f>
        <v/>
      </c>
      <c r="J10" s="53" t="str">
        <f>'Rack 8'!F35</f>
        <v/>
      </c>
      <c r="K10" s="53" t="str">
        <f>'Rack 8'!F36</f>
        <v/>
      </c>
      <c r="L10" s="53" t="str">
        <f>'Rack 8'!F37</f>
        <v/>
      </c>
      <c r="M10" s="53" t="str">
        <f>'Rack 8'!F38</f>
        <v/>
      </c>
      <c r="N10" s="54" t="str">
        <f>'Rack 8'!F39</f>
        <v/>
      </c>
      <c r="O10" s="58" t="str">
        <f>'Rack 8'!F41</f>
        <v/>
      </c>
      <c r="P10" s="48" t="str">
        <f>'Rack 8'!F42</f>
        <v/>
      </c>
      <c r="Q10" s="48" t="str">
        <f>'Rack 8'!F43</f>
        <v/>
      </c>
      <c r="R10" s="48" t="str">
        <f>'Rack 8'!F44</f>
        <v/>
      </c>
      <c r="S10" s="48" t="str">
        <f>'Rack 8'!F45</f>
        <v/>
      </c>
      <c r="T10" s="59" t="str">
        <f>'Rack 8'!F46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8'!B49</f>
        <v/>
      </c>
      <c r="D11" s="400"/>
      <c r="E11" s="400"/>
      <c r="F11" s="400"/>
      <c r="G11" s="400"/>
      <c r="H11" s="400"/>
      <c r="I11" s="401" t="str">
        <f>'Rack 8'!B56</f>
        <v/>
      </c>
      <c r="J11" s="402"/>
      <c r="K11" s="402"/>
      <c r="L11" s="402"/>
      <c r="M11" s="402"/>
      <c r="N11" s="402"/>
      <c r="O11" s="374" t="str">
        <f>'Rack 8'!B70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8'!E48</f>
        <v/>
      </c>
      <c r="D13" s="51" t="str">
        <f>'Rack 8'!E49</f>
        <v/>
      </c>
      <c r="E13" s="51" t="str">
        <f>'Rack 8'!E50</f>
        <v/>
      </c>
      <c r="F13" s="51" t="str">
        <f>'Rack 8'!E51</f>
        <v/>
      </c>
      <c r="G13" s="51" t="str">
        <f>'Rack 8'!E52</f>
        <v/>
      </c>
      <c r="H13" s="55" t="str">
        <f>'Rack 8'!E53</f>
        <v/>
      </c>
      <c r="I13" s="50" t="str">
        <f>'Rack 8'!E55</f>
        <v/>
      </c>
      <c r="J13" s="51" t="str">
        <f>'Rack 8'!E56</f>
        <v/>
      </c>
      <c r="K13" s="51" t="str">
        <f>'Rack 8'!E57</f>
        <v/>
      </c>
      <c r="L13" s="51" t="str">
        <f>'Rack 8'!E58</f>
        <v/>
      </c>
      <c r="M13" s="51" t="str">
        <f>'Rack 8'!E59</f>
        <v/>
      </c>
      <c r="N13" s="55" t="str">
        <f>'Rack 8'!E60</f>
        <v/>
      </c>
      <c r="O13" s="50" t="str">
        <f>'Rack 8'!E69</f>
        <v/>
      </c>
      <c r="P13" s="51" t="str">
        <f>'Rack 8'!E70</f>
        <v/>
      </c>
      <c r="Q13" s="51" t="str">
        <f>'Rack 8'!E71</f>
        <v/>
      </c>
      <c r="R13" s="51" t="str">
        <f>'Rack 8'!E72</f>
        <v/>
      </c>
      <c r="S13" s="51" t="str">
        <f>'Rack 8'!E73</f>
        <v/>
      </c>
      <c r="T13" s="56" t="str">
        <f>'Rack 8'!E74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8'!F48</f>
        <v/>
      </c>
      <c r="D16" s="53" t="str">
        <f>'Rack 8'!F49</f>
        <v/>
      </c>
      <c r="E16" s="53" t="str">
        <f>'Rack 8'!F50</f>
        <v/>
      </c>
      <c r="F16" s="53" t="str">
        <f>'Rack 8'!F51</f>
        <v/>
      </c>
      <c r="G16" s="53" t="str">
        <f>'Rack 8'!F52</f>
        <v/>
      </c>
      <c r="H16" s="54" t="str">
        <f>'Rack 8'!F53</f>
        <v/>
      </c>
      <c r="I16" s="52" t="str">
        <f>'Rack 8'!F55</f>
        <v/>
      </c>
      <c r="J16" s="53" t="str">
        <f>'Rack 8'!F56</f>
        <v/>
      </c>
      <c r="K16" s="53" t="str">
        <f>'Rack 8'!F57</f>
        <v/>
      </c>
      <c r="L16" s="53" t="str">
        <f>'Rack 8'!F58</f>
        <v/>
      </c>
      <c r="M16" s="53" t="str">
        <f>'Rack 8'!F59</f>
        <v/>
      </c>
      <c r="N16" s="54" t="str">
        <f>'Rack 8'!F60</f>
        <v/>
      </c>
      <c r="O16" s="52" t="str">
        <f>'Rack 8'!F69</f>
        <v/>
      </c>
      <c r="P16" s="53" t="str">
        <f>'Rack 8'!F70</f>
        <v/>
      </c>
      <c r="Q16" s="53" t="str">
        <f>'Rack 8'!F71</f>
        <v/>
      </c>
      <c r="R16" s="53" t="str">
        <f>'Rack 8'!F72</f>
        <v/>
      </c>
      <c r="S16" s="53" t="str">
        <f>'Rack 8'!F73</f>
        <v/>
      </c>
      <c r="T16" s="57" t="str">
        <f>'Rack 8'!F74</f>
        <v/>
      </c>
      <c r="U16" s="34"/>
    </row>
    <row r="17" spans="1:21" ht="33.9" customHeight="1" thickTop="1">
      <c r="A17" s="16"/>
      <c r="B17" s="341" t="s">
        <v>47</v>
      </c>
      <c r="C17" s="342" t="str">
        <f>'Rack 8'!B77</f>
        <v/>
      </c>
      <c r="D17" s="343"/>
      <c r="E17" s="343"/>
      <c r="F17" s="343"/>
      <c r="G17" s="343"/>
      <c r="H17" s="343"/>
      <c r="I17" s="342" t="str">
        <f>'Rack 8'!B84</f>
        <v/>
      </c>
      <c r="J17" s="343"/>
      <c r="K17" s="343"/>
      <c r="L17" s="343"/>
      <c r="M17" s="343"/>
      <c r="N17" s="343"/>
      <c r="O17" s="342" t="str">
        <f>'Rack 8'!B91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8'!E76</f>
        <v/>
      </c>
      <c r="D19" s="51" t="str">
        <f>'Rack 8'!E77</f>
        <v/>
      </c>
      <c r="E19" s="51" t="str">
        <f>'Rack 8'!E78</f>
        <v/>
      </c>
      <c r="F19" s="51" t="str">
        <f>'Rack 8'!E79</f>
        <v/>
      </c>
      <c r="G19" s="51" t="str">
        <f>'Rack 8'!E80</f>
        <v/>
      </c>
      <c r="H19" s="55" t="str">
        <f>'Rack 8'!E81</f>
        <v/>
      </c>
      <c r="I19" s="50" t="str">
        <f>'Rack 8'!E83</f>
        <v/>
      </c>
      <c r="J19" s="51" t="str">
        <f>'Rack 8'!E84</f>
        <v/>
      </c>
      <c r="K19" s="51" t="str">
        <f>'Rack 8'!E85</f>
        <v/>
      </c>
      <c r="L19" s="51" t="str">
        <f>'Rack 8'!E86</f>
        <v/>
      </c>
      <c r="M19" s="51" t="str">
        <f>'Rack 8'!E87</f>
        <v/>
      </c>
      <c r="N19" s="55" t="str">
        <f>'Rack 8'!E88</f>
        <v/>
      </c>
      <c r="O19" s="50" t="str">
        <f>'Rack 8'!E90</f>
        <v/>
      </c>
      <c r="P19" s="51" t="str">
        <f>'Rack 8'!E91</f>
        <v/>
      </c>
      <c r="Q19" s="51" t="str">
        <f>'Rack 8'!E92</f>
        <v/>
      </c>
      <c r="R19" s="51" t="str">
        <f>'Rack 8'!E93</f>
        <v/>
      </c>
      <c r="S19" s="51" t="str">
        <f>'Rack 8'!E94</f>
        <v/>
      </c>
      <c r="T19" s="56" t="str">
        <f>'Rack 8'!E95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8'!F76</f>
        <v/>
      </c>
      <c r="D21" s="53" t="str">
        <f>'Rack 8'!F77</f>
        <v/>
      </c>
      <c r="E21" s="53" t="str">
        <f>'Rack 8'!F78</f>
        <v/>
      </c>
      <c r="F21" s="53" t="str">
        <f>'Rack 8'!F79</f>
        <v/>
      </c>
      <c r="G21" s="53" t="str">
        <f>'Rack 8'!F80</f>
        <v/>
      </c>
      <c r="H21" s="54" t="str">
        <f>'Rack 8'!F81</f>
        <v/>
      </c>
      <c r="I21" s="52" t="str">
        <f>'Rack 8'!F83</f>
        <v/>
      </c>
      <c r="J21" s="53" t="str">
        <f>'Rack 8'!F84</f>
        <v/>
      </c>
      <c r="K21" s="53" t="str">
        <f>'Rack 8'!F85</f>
        <v/>
      </c>
      <c r="L21" s="53" t="str">
        <f>'Rack 8'!F86</f>
        <v/>
      </c>
      <c r="M21" s="53" t="str">
        <f>'Rack 8'!F87</f>
        <v/>
      </c>
      <c r="N21" s="54" t="str">
        <f>'Rack 8'!F88</f>
        <v/>
      </c>
      <c r="O21" s="52" t="str">
        <f>'Rack 8'!F90</f>
        <v/>
      </c>
      <c r="P21" s="53" t="str">
        <f>'Rack 8'!F91</f>
        <v/>
      </c>
      <c r="Q21" s="53" t="str">
        <f>'Rack 8'!F92</f>
        <v/>
      </c>
      <c r="R21" s="53" t="str">
        <f>'Rack 8'!F93</f>
        <v/>
      </c>
      <c r="S21" s="53" t="str">
        <f>'Rack 8'!F94</f>
        <v/>
      </c>
      <c r="T21" s="57" t="str">
        <f>'Rack 8'!F95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8'!B98</f>
        <v/>
      </c>
      <c r="D22" s="349"/>
      <c r="E22" s="349"/>
      <c r="F22" s="349"/>
      <c r="G22" s="349"/>
      <c r="H22" s="349"/>
      <c r="I22" s="348" t="str">
        <f>'Rack 8'!B105</f>
        <v/>
      </c>
      <c r="J22" s="349"/>
      <c r="K22" s="349"/>
      <c r="L22" s="349"/>
      <c r="M22" s="349"/>
      <c r="N22" s="349"/>
      <c r="O22" s="348" t="str">
        <f>'Rack 8'!B112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8'!E97</f>
        <v/>
      </c>
      <c r="D24" s="61" t="str">
        <f>'Rack 8'!E98</f>
        <v/>
      </c>
      <c r="E24" s="61" t="str">
        <f>'Rack 8'!E99</f>
        <v/>
      </c>
      <c r="F24" s="61" t="str">
        <f>'Rack 8'!E100</f>
        <v/>
      </c>
      <c r="G24" s="61" t="str">
        <f>'Rack 8'!E101</f>
        <v/>
      </c>
      <c r="H24" s="62" t="str">
        <f>'Rack 8'!E102</f>
        <v/>
      </c>
      <c r="I24" s="60" t="str">
        <f>'Rack 8'!E104</f>
        <v/>
      </c>
      <c r="J24" s="61" t="str">
        <f>'Rack 8'!E105</f>
        <v/>
      </c>
      <c r="K24" s="61" t="str">
        <f>'Rack 8'!E106</f>
        <v/>
      </c>
      <c r="L24" s="61" t="str">
        <f>'Rack 8'!E107</f>
        <v/>
      </c>
      <c r="M24" s="61" t="str">
        <f>'Rack 8'!E108</f>
        <v/>
      </c>
      <c r="N24" s="62" t="str">
        <f>'Rack 8'!E109</f>
        <v/>
      </c>
      <c r="O24" s="60" t="str">
        <f>'Rack 8'!E111</f>
        <v/>
      </c>
      <c r="P24" s="61" t="str">
        <f>'Rack 8'!E112</f>
        <v/>
      </c>
      <c r="Q24" s="61" t="str">
        <f>'Rack 8'!E113</f>
        <v/>
      </c>
      <c r="R24" s="61" t="str">
        <f>'Rack 8'!E114</f>
        <v/>
      </c>
      <c r="S24" s="61" t="str">
        <f>'Rack 8'!E115</f>
        <v/>
      </c>
      <c r="T24" s="63" t="str">
        <f>'Rack 8'!E116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8'!F97</f>
        <v/>
      </c>
      <c r="D26" s="53" t="str">
        <f>'Rack 8'!F98</f>
        <v/>
      </c>
      <c r="E26" s="53" t="str">
        <f>'Rack 8'!F99</f>
        <v/>
      </c>
      <c r="F26" s="53" t="str">
        <f>'Rack 8'!F100</f>
        <v/>
      </c>
      <c r="G26" s="53" t="str">
        <f>'Rack 8'!F101</f>
        <v/>
      </c>
      <c r="H26" s="54" t="str">
        <f>'Rack 8'!F102</f>
        <v/>
      </c>
      <c r="I26" s="52" t="str">
        <f>'Rack 8'!F104</f>
        <v/>
      </c>
      <c r="J26" s="53" t="str">
        <f>'Rack 8'!F105</f>
        <v/>
      </c>
      <c r="K26" s="53" t="str">
        <f>'Rack 8'!F106</f>
        <v/>
      </c>
      <c r="L26" s="53" t="str">
        <f>'Rack 8'!F107</f>
        <v/>
      </c>
      <c r="M26" s="53" t="str">
        <f>'Rack 8'!F108</f>
        <v/>
      </c>
      <c r="N26" s="54" t="str">
        <f>'Rack 8'!F109</f>
        <v/>
      </c>
      <c r="O26" s="52" t="str">
        <f>'Rack 8'!F111</f>
        <v/>
      </c>
      <c r="P26" s="53" t="str">
        <f>'Rack 8'!F112</f>
        <v/>
      </c>
      <c r="Q26" s="53" t="str">
        <f>'Rack 8'!F113</f>
        <v/>
      </c>
      <c r="R26" s="53" t="str">
        <f>'Rack 8'!F114</f>
        <v/>
      </c>
      <c r="S26" s="53" t="str">
        <f>'Rack 8'!F115</f>
        <v/>
      </c>
      <c r="T26" s="57" t="str">
        <f>'Rack 8'!F116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8'!B119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8'!E118</f>
        <v/>
      </c>
      <c r="D30" s="61" t="str">
        <f>'Rack 8'!E119</f>
        <v/>
      </c>
      <c r="E30" s="61" t="str">
        <f>'Rack 8'!E120</f>
        <v/>
      </c>
      <c r="F30" s="61" t="str">
        <f>'Rack 8'!E121</f>
        <v/>
      </c>
      <c r="G30" s="61" t="str">
        <f>'Rack 8'!E122</f>
        <v/>
      </c>
      <c r="H30" s="226" t="str">
        <f>'Rack 8'!E123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8'!F118</f>
        <v/>
      </c>
      <c r="D32" s="53" t="str">
        <f>'Rack 8'!F119</f>
        <v/>
      </c>
      <c r="E32" s="53" t="str">
        <f>'Rack 8'!F120</f>
        <v/>
      </c>
      <c r="F32" s="53" t="str">
        <f>'Rack 8'!F121</f>
        <v/>
      </c>
      <c r="G32" s="53" t="str">
        <f>'Rack 8'!F122</f>
        <v/>
      </c>
      <c r="H32" s="54" t="str">
        <f>'Rack 8'!F123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35" priority="4" stopIfTrue="1">
      <formula>_xlfn.XLOOKUP(B1, ColorLookup_MultiNames,ColorLookup_Colors) = "grey"</formula>
    </cfRule>
    <cfRule type="expression" dxfId="34" priority="5" stopIfTrue="1">
      <formula>_xlfn.XLOOKUP(B1, ColorLookup_MultiNames,ColorLookup_Colors) = "yellow"</formula>
    </cfRule>
    <cfRule type="expression" dxfId="33" priority="6" stopIfTrue="1">
      <formula>_xlfn.XLOOKUP(B1, ColorLookup_MultiNames,ColorLookup_Colors) = "orange"</formula>
    </cfRule>
    <cfRule type="expression" dxfId="32" priority="7" stopIfTrue="1">
      <formula>_xlfn.XLOOKUP(B1, ColorLookup_MultiNames,ColorLookup_Colors) = "brown"</formula>
    </cfRule>
    <cfRule type="expression" dxfId="31" priority="8" stopIfTrue="1">
      <formula>_xlfn.XLOOKUP(B1, ColorLookup_MultiNames,ColorLookup_Colors) = "green"</formula>
    </cfRule>
    <cfRule type="expression" dxfId="30" priority="9" stopIfTrue="1">
      <formula>_xlfn.XLOOKUP(B1, ColorLookup_MultiNames,ColorLookup_Colors) = "red"</formula>
    </cfRule>
    <cfRule type="expression" dxfId="29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28" priority="3" stopIfTrue="1">
      <formula>_xlfn.XLOOKUP(B1, ColorLookup_MultiNames,ColorLookup_Colors) = "purple"</formula>
    </cfRule>
  </conditionalFormatting>
  <conditionalFormatting sqref="C5:T8">
    <cfRule type="cellIs" dxfId="27" priority="2" operator="equal">
      <formula>0</formula>
    </cfRule>
  </conditionalFormatting>
  <conditionalFormatting sqref="C10:T13 C16:T19 C21:T24 C28:H30 B34:N43 B44:D45 C3:T3">
    <cfRule type="cellIs" dxfId="26" priority="11" operator="equal">
      <formula>0</formula>
    </cfRule>
  </conditionalFormatting>
  <conditionalFormatting sqref="C26:T26 C32:H32">
    <cfRule type="cellIs" dxfId="25" priority="12" operator="equal">
      <formula>0</formula>
    </cfRule>
  </conditionalFormatting>
  <conditionalFormatting sqref="I1:T2">
    <cfRule type="cellIs" dxfId="24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8&amp;R&amp;D</oddHeader>
  </headerFooter>
  <rowBreaks count="2" manualBreakCount="2">
    <brk id="13" max="20" man="1"/>
    <brk id="26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85F3-C54E-4B05-8C1A-F8A34C18A698}">
  <dimension ref="A1:U46"/>
  <sheetViews>
    <sheetView tabSelected="1" view="pageBreakPreview" topLeftCell="A28" zoomScale="60" zoomScaleNormal="70" zoomScalePageLayoutView="60" workbookViewId="0">
      <selection activeCell="R28" sqref="R28"/>
    </sheetView>
  </sheetViews>
  <sheetFormatPr defaultColWidth="0" defaultRowHeight="15.6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9'!B7</f>
        <v/>
      </c>
      <c r="D1" s="394"/>
      <c r="E1" s="394"/>
      <c r="F1" s="394"/>
      <c r="G1" s="394"/>
      <c r="H1" s="395"/>
      <c r="I1" s="374" t="str">
        <f>'Rack 9'!B14</f>
        <v/>
      </c>
      <c r="J1" s="375"/>
      <c r="K1" s="375"/>
      <c r="L1" s="375"/>
      <c r="M1" s="375"/>
      <c r="N1" s="376"/>
      <c r="O1" s="374" t="str">
        <f>'Rack 9'!B21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9'!E6</f>
        <v/>
      </c>
      <c r="D3" s="51" t="str">
        <f>'Rack 9'!E7</f>
        <v/>
      </c>
      <c r="E3" s="51" t="str">
        <f>'Rack 9'!E8</f>
        <v/>
      </c>
      <c r="F3" s="51" t="str">
        <f>'Rack 9'!E9</f>
        <v/>
      </c>
      <c r="G3" s="51" t="str">
        <f>'Rack 9'!E10</f>
        <v/>
      </c>
      <c r="H3" s="55" t="str">
        <f>'Rack 9'!E11</f>
        <v/>
      </c>
      <c r="I3" s="50" t="str">
        <f>'Rack 9'!E13</f>
        <v/>
      </c>
      <c r="J3" s="51" t="str">
        <f>'Rack 9'!E14</f>
        <v/>
      </c>
      <c r="K3" s="51" t="str">
        <f>'Rack 9'!E15</f>
        <v/>
      </c>
      <c r="L3" s="51" t="str">
        <f>'Rack 9'!E16</f>
        <v/>
      </c>
      <c r="M3" s="51" t="str">
        <f>'Rack 9'!E17</f>
        <v/>
      </c>
      <c r="N3" s="55" t="str">
        <f>'Rack 9'!E18</f>
        <v/>
      </c>
      <c r="O3" s="50" t="str">
        <f>'Rack 9'!E20</f>
        <v/>
      </c>
      <c r="P3" s="51" t="str">
        <f>'Rack 9'!E21</f>
        <v/>
      </c>
      <c r="Q3" s="51" t="str">
        <f>'Rack 9'!E22</f>
        <v/>
      </c>
      <c r="R3" s="51" t="str">
        <f>'Rack 9'!E23</f>
        <v/>
      </c>
      <c r="S3" s="51" t="str">
        <f>'Rack 9'!E24</f>
        <v/>
      </c>
      <c r="T3" s="56" t="str">
        <f>'Rack 9'!E25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9'!F6</f>
        <v/>
      </c>
      <c r="D5" s="53" t="str">
        <f>'Rack 9'!F7</f>
        <v/>
      </c>
      <c r="E5" s="53" t="str">
        <f>'Rack 9'!F8</f>
        <v/>
      </c>
      <c r="F5" s="53" t="str">
        <f>'Rack 9'!F9</f>
        <v/>
      </c>
      <c r="G5" s="53" t="str">
        <f>'Rack 9'!F10</f>
        <v/>
      </c>
      <c r="H5" s="54" t="str">
        <f>'Rack 9'!F11</f>
        <v/>
      </c>
      <c r="I5" s="52" t="str">
        <f>'Rack 9'!F13</f>
        <v/>
      </c>
      <c r="J5" s="53" t="str">
        <f>'Rack 9'!F14</f>
        <v/>
      </c>
      <c r="K5" s="53" t="str">
        <f>'Rack 9'!F15</f>
        <v/>
      </c>
      <c r="L5" s="53" t="str">
        <f>'Rack 9'!F16</f>
        <v/>
      </c>
      <c r="M5" s="53" t="str">
        <f>'Rack 9'!F17</f>
        <v/>
      </c>
      <c r="N5" s="54" t="str">
        <f>'Rack 9'!F18</f>
        <v/>
      </c>
      <c r="O5" s="52" t="str">
        <f>'Rack 9'!F20</f>
        <v/>
      </c>
      <c r="P5" s="53" t="str">
        <f>'Rack 9'!F21</f>
        <v/>
      </c>
      <c r="Q5" s="53" t="str">
        <f>'Rack 9'!F22</f>
        <v/>
      </c>
      <c r="R5" s="53" t="str">
        <f>'Rack 9'!F23</f>
        <v/>
      </c>
      <c r="S5" s="53" t="str">
        <f>'Rack 9'!F24</f>
        <v/>
      </c>
      <c r="T5" s="57" t="str">
        <f>'Rack 9'!F25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9'!B28</f>
        <v/>
      </c>
      <c r="D6" s="375"/>
      <c r="E6" s="375"/>
      <c r="F6" s="375"/>
      <c r="G6" s="375"/>
      <c r="H6" s="376"/>
      <c r="I6" s="374" t="str">
        <f>'Rack 9'!B35</f>
        <v/>
      </c>
      <c r="J6" s="375"/>
      <c r="K6" s="375"/>
      <c r="L6" s="375"/>
      <c r="M6" s="375"/>
      <c r="N6" s="376"/>
      <c r="O6" s="374" t="str">
        <f>'Rack 9'!B42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9'!E27</f>
        <v/>
      </c>
      <c r="D8" s="51" t="str">
        <f>'Rack 9'!E28</f>
        <v/>
      </c>
      <c r="E8" s="51" t="str">
        <f>'Rack 9'!E29</f>
        <v/>
      </c>
      <c r="F8" s="51" t="str">
        <f>'Rack 9'!E30</f>
        <v/>
      </c>
      <c r="G8" s="51" t="str">
        <f>'Rack 9'!E31</f>
        <v/>
      </c>
      <c r="H8" s="55" t="str">
        <f>'Rack 9'!E32</f>
        <v/>
      </c>
      <c r="I8" s="50" t="str">
        <f>'Rack 9'!E34</f>
        <v/>
      </c>
      <c r="J8" s="51" t="str">
        <f>'Rack 9'!E35</f>
        <v/>
      </c>
      <c r="K8" s="51" t="str">
        <f>'Rack 9'!E36</f>
        <v/>
      </c>
      <c r="L8" s="51" t="str">
        <f>'Rack 9'!E37</f>
        <v/>
      </c>
      <c r="M8" s="51" t="str">
        <f>'Rack 9'!E38</f>
        <v/>
      </c>
      <c r="N8" s="55" t="str">
        <f>'Rack 9'!E39</f>
        <v/>
      </c>
      <c r="O8" s="50" t="str">
        <f>'Rack 9'!E41</f>
        <v/>
      </c>
      <c r="P8" s="51" t="str">
        <f>'Rack 9'!E42</f>
        <v/>
      </c>
      <c r="Q8" s="51" t="str">
        <f>'Rack 9'!E43</f>
        <v/>
      </c>
      <c r="R8" s="51" t="str">
        <f>'Rack 9'!E44</f>
        <v/>
      </c>
      <c r="S8" s="51" t="str">
        <f>'Rack 9'!E45</f>
        <v/>
      </c>
      <c r="T8" s="56" t="str">
        <f>'Rack 9'!E46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9'!F27</f>
        <v/>
      </c>
      <c r="D10" s="53" t="str">
        <f>'Rack 9'!F28</f>
        <v/>
      </c>
      <c r="E10" s="53" t="str">
        <f>'Rack 9'!F29</f>
        <v/>
      </c>
      <c r="F10" s="53" t="str">
        <f>'Rack 9'!F30</f>
        <v/>
      </c>
      <c r="G10" s="53" t="str">
        <f>'Rack 9'!F31</f>
        <v/>
      </c>
      <c r="H10" s="54" t="str">
        <f>'Rack 9'!F32</f>
        <v/>
      </c>
      <c r="I10" s="52" t="str">
        <f>'Rack 9'!F34</f>
        <v/>
      </c>
      <c r="J10" s="53" t="str">
        <f>'Rack 9'!F35</f>
        <v/>
      </c>
      <c r="K10" s="53" t="str">
        <f>'Rack 9'!F36</f>
        <v/>
      </c>
      <c r="L10" s="53" t="str">
        <f>'Rack 9'!F37</f>
        <v/>
      </c>
      <c r="M10" s="53" t="str">
        <f>'Rack 9'!F38</f>
        <v/>
      </c>
      <c r="N10" s="54" t="str">
        <f>'Rack 9'!F39</f>
        <v/>
      </c>
      <c r="O10" s="58" t="str">
        <f>'Rack 9'!F41</f>
        <v/>
      </c>
      <c r="P10" s="48" t="str">
        <f>'Rack 9'!F42</f>
        <v/>
      </c>
      <c r="Q10" s="48" t="str">
        <f>'Rack 9'!F43</f>
        <v/>
      </c>
      <c r="R10" s="48" t="str">
        <f>'Rack 9'!F44</f>
        <v/>
      </c>
      <c r="S10" s="48" t="str">
        <f>'Rack 9'!F45</f>
        <v/>
      </c>
      <c r="T10" s="59" t="str">
        <f>'Rack 9'!F46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9'!B49</f>
        <v/>
      </c>
      <c r="D11" s="400"/>
      <c r="E11" s="400"/>
      <c r="F11" s="400"/>
      <c r="G11" s="400"/>
      <c r="H11" s="400"/>
      <c r="I11" s="401" t="str">
        <f>'Rack 9'!B56</f>
        <v/>
      </c>
      <c r="J11" s="402"/>
      <c r="K11" s="402"/>
      <c r="L11" s="402"/>
      <c r="M11" s="402"/>
      <c r="N11" s="402"/>
      <c r="O11" s="374" t="str">
        <f>'Rack 9'!B70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9'!E48</f>
        <v/>
      </c>
      <c r="D13" s="51" t="str">
        <f>'Rack 9'!E49</f>
        <v/>
      </c>
      <c r="E13" s="51" t="str">
        <f>'Rack 9'!E50</f>
        <v/>
      </c>
      <c r="F13" s="51" t="str">
        <f>'Rack 9'!E51</f>
        <v/>
      </c>
      <c r="G13" s="51" t="str">
        <f>'Rack 9'!E52</f>
        <v/>
      </c>
      <c r="H13" s="55" t="str">
        <f>'Rack 9'!E53</f>
        <v/>
      </c>
      <c r="I13" s="50" t="str">
        <f>'Rack 9'!E55</f>
        <v/>
      </c>
      <c r="J13" s="51" t="str">
        <f>'Rack 9'!E56</f>
        <v/>
      </c>
      <c r="K13" s="51" t="str">
        <f>'Rack 9'!E57</f>
        <v/>
      </c>
      <c r="L13" s="51" t="str">
        <f>'Rack 9'!E58</f>
        <v/>
      </c>
      <c r="M13" s="51" t="str">
        <f>'Rack 9'!E59</f>
        <v/>
      </c>
      <c r="N13" s="55" t="str">
        <f>'Rack 9'!E60</f>
        <v/>
      </c>
      <c r="O13" s="50" t="str">
        <f>'Rack 9'!E69</f>
        <v/>
      </c>
      <c r="P13" s="51" t="str">
        <f>'Rack 9'!E70</f>
        <v/>
      </c>
      <c r="Q13" s="51" t="str">
        <f>'Rack 9'!E71</f>
        <v/>
      </c>
      <c r="R13" s="51" t="str">
        <f>'Rack 9'!E72</f>
        <v/>
      </c>
      <c r="S13" s="51" t="str">
        <f>'Rack 9'!E73</f>
        <v/>
      </c>
      <c r="T13" s="56" t="str">
        <f>'Rack 9'!E74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9'!F48</f>
        <v/>
      </c>
      <c r="D16" s="53" t="str">
        <f>'Rack 9'!F49</f>
        <v/>
      </c>
      <c r="E16" s="53" t="str">
        <f>'Rack 9'!F50</f>
        <v/>
      </c>
      <c r="F16" s="53" t="str">
        <f>'Rack 9'!F51</f>
        <v/>
      </c>
      <c r="G16" s="53" t="str">
        <f>'Rack 9'!F52</f>
        <v/>
      </c>
      <c r="H16" s="54" t="str">
        <f>'Rack 9'!F53</f>
        <v/>
      </c>
      <c r="I16" s="52" t="str">
        <f>'Rack 9'!F55</f>
        <v/>
      </c>
      <c r="J16" s="53" t="str">
        <f>'Rack 9'!F56</f>
        <v/>
      </c>
      <c r="K16" s="53" t="str">
        <f>'Rack 9'!F57</f>
        <v/>
      </c>
      <c r="L16" s="53" t="str">
        <f>'Rack 9'!F58</f>
        <v/>
      </c>
      <c r="M16" s="53" t="str">
        <f>'Rack 9'!F59</f>
        <v/>
      </c>
      <c r="N16" s="54" t="str">
        <f>'Rack 9'!F60</f>
        <v/>
      </c>
      <c r="O16" s="52" t="str">
        <f>'Rack 9'!F69</f>
        <v/>
      </c>
      <c r="P16" s="53" t="str">
        <f>'Rack 9'!F70</f>
        <v/>
      </c>
      <c r="Q16" s="53" t="str">
        <f>'Rack 9'!F71</f>
        <v/>
      </c>
      <c r="R16" s="53" t="str">
        <f>'Rack 9'!F72</f>
        <v/>
      </c>
      <c r="S16" s="53" t="str">
        <f>'Rack 9'!F73</f>
        <v/>
      </c>
      <c r="T16" s="57" t="str">
        <f>'Rack 9'!F74</f>
        <v/>
      </c>
      <c r="U16" s="34"/>
    </row>
    <row r="17" spans="1:21" ht="33.9" customHeight="1" thickTop="1">
      <c r="A17" s="16"/>
      <c r="B17" s="341" t="s">
        <v>47</v>
      </c>
      <c r="C17" s="342" t="str">
        <f>'Rack 9'!B77</f>
        <v/>
      </c>
      <c r="D17" s="343"/>
      <c r="E17" s="343"/>
      <c r="F17" s="343"/>
      <c r="G17" s="343"/>
      <c r="H17" s="343"/>
      <c r="I17" s="342" t="str">
        <f>'Rack 9'!B84</f>
        <v/>
      </c>
      <c r="J17" s="343"/>
      <c r="K17" s="343"/>
      <c r="L17" s="343"/>
      <c r="M17" s="343"/>
      <c r="N17" s="343"/>
      <c r="O17" s="342" t="str">
        <f>'Rack 9'!B91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9'!E76</f>
        <v/>
      </c>
      <c r="D19" s="51" t="str">
        <f>'Rack 9'!E77</f>
        <v/>
      </c>
      <c r="E19" s="51" t="str">
        <f>'Rack 9'!E78</f>
        <v/>
      </c>
      <c r="F19" s="51" t="str">
        <f>'Rack 9'!E79</f>
        <v/>
      </c>
      <c r="G19" s="51" t="str">
        <f>'Rack 9'!E80</f>
        <v/>
      </c>
      <c r="H19" s="55" t="str">
        <f>'Rack 9'!E81</f>
        <v/>
      </c>
      <c r="I19" s="50" t="str">
        <f>'Rack 9'!E83</f>
        <v/>
      </c>
      <c r="J19" s="51" t="str">
        <f>'Rack 9'!E84</f>
        <v/>
      </c>
      <c r="K19" s="51" t="str">
        <f>'Rack 9'!E85</f>
        <v/>
      </c>
      <c r="L19" s="51" t="str">
        <f>'Rack 9'!E86</f>
        <v/>
      </c>
      <c r="M19" s="51" t="str">
        <f>'Rack 9'!E87</f>
        <v/>
      </c>
      <c r="N19" s="55" t="str">
        <f>'Rack 9'!E88</f>
        <v/>
      </c>
      <c r="O19" s="50" t="str">
        <f>'Rack 9'!E90</f>
        <v/>
      </c>
      <c r="P19" s="51" t="str">
        <f>'Rack 9'!E91</f>
        <v/>
      </c>
      <c r="Q19" s="51" t="str">
        <f>'Rack 9'!E92</f>
        <v/>
      </c>
      <c r="R19" s="51" t="str">
        <f>'Rack 9'!E93</f>
        <v/>
      </c>
      <c r="S19" s="51" t="str">
        <f>'Rack 9'!E94</f>
        <v/>
      </c>
      <c r="T19" s="56" t="str">
        <f>'Rack 9'!E95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9'!F76</f>
        <v/>
      </c>
      <c r="D21" s="53" t="str">
        <f>'Rack 9'!F77</f>
        <v/>
      </c>
      <c r="E21" s="53" t="str">
        <f>'Rack 9'!F78</f>
        <v/>
      </c>
      <c r="F21" s="53" t="str">
        <f>'Rack 9'!F79</f>
        <v/>
      </c>
      <c r="G21" s="53" t="str">
        <f>'Rack 9'!F80</f>
        <v/>
      </c>
      <c r="H21" s="54" t="str">
        <f>'Rack 9'!F81</f>
        <v/>
      </c>
      <c r="I21" s="52" t="str">
        <f>'Rack 9'!F83</f>
        <v/>
      </c>
      <c r="J21" s="53" t="str">
        <f>'Rack 9'!F84</f>
        <v/>
      </c>
      <c r="K21" s="53" t="str">
        <f>'Rack 9'!F85</f>
        <v/>
      </c>
      <c r="L21" s="53" t="str">
        <f>'Rack 9'!F86</f>
        <v/>
      </c>
      <c r="M21" s="53" t="str">
        <f>'Rack 9'!F87</f>
        <v/>
      </c>
      <c r="N21" s="54" t="str">
        <f>'Rack 9'!F88</f>
        <v/>
      </c>
      <c r="O21" s="52" t="str">
        <f>'Rack 9'!F90</f>
        <v/>
      </c>
      <c r="P21" s="53" t="str">
        <f>'Rack 9'!F91</f>
        <v/>
      </c>
      <c r="Q21" s="53" t="str">
        <f>'Rack 9'!F92</f>
        <v/>
      </c>
      <c r="R21" s="53" t="str">
        <f>'Rack 9'!F93</f>
        <v/>
      </c>
      <c r="S21" s="53" t="str">
        <f>'Rack 9'!F94</f>
        <v/>
      </c>
      <c r="T21" s="57" t="str">
        <f>'Rack 9'!F95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9'!B98</f>
        <v/>
      </c>
      <c r="D22" s="349"/>
      <c r="E22" s="349"/>
      <c r="F22" s="349"/>
      <c r="G22" s="349"/>
      <c r="H22" s="349"/>
      <c r="I22" s="348" t="str">
        <f>'Rack 9'!B105</f>
        <v/>
      </c>
      <c r="J22" s="349"/>
      <c r="K22" s="349"/>
      <c r="L22" s="349"/>
      <c r="M22" s="349"/>
      <c r="N22" s="349"/>
      <c r="O22" s="348" t="str">
        <f>'Rack 9'!B112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9'!E97</f>
        <v/>
      </c>
      <c r="D24" s="61" t="str">
        <f>'Rack 9'!E98</f>
        <v/>
      </c>
      <c r="E24" s="61" t="str">
        <f>'Rack 9'!E99</f>
        <v/>
      </c>
      <c r="F24" s="61" t="str">
        <f>'Rack 9'!E100</f>
        <v/>
      </c>
      <c r="G24" s="61" t="str">
        <f>'Rack 9'!E101</f>
        <v/>
      </c>
      <c r="H24" s="62" t="str">
        <f>'Rack 9'!E102</f>
        <v/>
      </c>
      <c r="I24" s="60" t="str">
        <f>'Rack 9'!E104</f>
        <v/>
      </c>
      <c r="J24" s="61" t="str">
        <f>'Rack 9'!E105</f>
        <v/>
      </c>
      <c r="K24" s="61" t="str">
        <f>'Rack 9'!E106</f>
        <v/>
      </c>
      <c r="L24" s="61" t="str">
        <f>'Rack 9'!E107</f>
        <v/>
      </c>
      <c r="M24" s="61" t="str">
        <f>'Rack 9'!E108</f>
        <v/>
      </c>
      <c r="N24" s="62" t="str">
        <f>'Rack 9'!E109</f>
        <v/>
      </c>
      <c r="O24" s="60" t="str">
        <f>'Rack 9'!E111</f>
        <v/>
      </c>
      <c r="P24" s="61" t="str">
        <f>'Rack 9'!E112</f>
        <v/>
      </c>
      <c r="Q24" s="61" t="str">
        <f>'Rack 9'!E113</f>
        <v/>
      </c>
      <c r="R24" s="61" t="str">
        <f>'Rack 9'!E114</f>
        <v/>
      </c>
      <c r="S24" s="61" t="str">
        <f>'Rack 9'!E115</f>
        <v/>
      </c>
      <c r="T24" s="63" t="str">
        <f>'Rack 9'!E116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9'!F97</f>
        <v/>
      </c>
      <c r="D26" s="53" t="str">
        <f>'Rack 9'!F98</f>
        <v/>
      </c>
      <c r="E26" s="53" t="str">
        <f>'Rack 9'!F99</f>
        <v/>
      </c>
      <c r="F26" s="53" t="str">
        <f>'Rack 9'!F100</f>
        <v/>
      </c>
      <c r="G26" s="53" t="str">
        <f>'Rack 9'!F101</f>
        <v/>
      </c>
      <c r="H26" s="54" t="str">
        <f>'Rack 9'!F102</f>
        <v/>
      </c>
      <c r="I26" s="52" t="str">
        <f>'Rack 9'!F104</f>
        <v/>
      </c>
      <c r="J26" s="53" t="str">
        <f>'Rack 9'!F105</f>
        <v/>
      </c>
      <c r="K26" s="53" t="str">
        <f>'Rack 9'!F106</f>
        <v/>
      </c>
      <c r="L26" s="53" t="str">
        <f>'Rack 9'!F107</f>
        <v/>
      </c>
      <c r="M26" s="53" t="str">
        <f>'Rack 9'!F108</f>
        <v/>
      </c>
      <c r="N26" s="54" t="str">
        <f>'Rack 9'!F109</f>
        <v/>
      </c>
      <c r="O26" s="52" t="str">
        <f>'Rack 9'!F111</f>
        <v/>
      </c>
      <c r="P26" s="53" t="str">
        <f>'Rack 9'!F112</f>
        <v/>
      </c>
      <c r="Q26" s="53" t="str">
        <f>'Rack 9'!F113</f>
        <v/>
      </c>
      <c r="R26" s="53" t="str">
        <f>'Rack 9'!F114</f>
        <v/>
      </c>
      <c r="S26" s="53" t="str">
        <f>'Rack 9'!F115</f>
        <v/>
      </c>
      <c r="T26" s="57" t="str">
        <f>'Rack 9'!F116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9'!B119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9'!E118</f>
        <v/>
      </c>
      <c r="D30" s="61" t="str">
        <f>'Rack 9'!E119</f>
        <v/>
      </c>
      <c r="E30" s="61" t="str">
        <f>'Rack 9'!E120</f>
        <v/>
      </c>
      <c r="F30" s="61" t="str">
        <f>'Rack 9'!E121</f>
        <v/>
      </c>
      <c r="G30" s="61" t="str">
        <f>'Rack 9'!E122</f>
        <v/>
      </c>
      <c r="H30" s="226" t="str">
        <f>'Rack 9'!E123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9'!F118</f>
        <v/>
      </c>
      <c r="D32" s="53" t="str">
        <f>'Rack 9'!F119</f>
        <v/>
      </c>
      <c r="E32" s="53" t="str">
        <f>'Rack 9'!F120</f>
        <v/>
      </c>
      <c r="F32" s="53" t="str">
        <f>'Rack 9'!F121</f>
        <v/>
      </c>
      <c r="G32" s="53" t="str">
        <f>'Rack 9'!F122</f>
        <v/>
      </c>
      <c r="H32" s="54" t="str">
        <f>'Rack 9'!F123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23" priority="4" stopIfTrue="1">
      <formula>_xlfn.XLOOKUP(B1, ColorLookup_MultiNames,ColorLookup_Colors) = "grey"</formula>
    </cfRule>
    <cfRule type="expression" dxfId="22" priority="5" stopIfTrue="1">
      <formula>_xlfn.XLOOKUP(B1, ColorLookup_MultiNames,ColorLookup_Colors) = "yellow"</formula>
    </cfRule>
    <cfRule type="expression" dxfId="21" priority="6" stopIfTrue="1">
      <formula>_xlfn.XLOOKUP(B1, ColorLookup_MultiNames,ColorLookup_Colors) = "orange"</formula>
    </cfRule>
    <cfRule type="expression" dxfId="20" priority="7" stopIfTrue="1">
      <formula>_xlfn.XLOOKUP(B1, ColorLookup_MultiNames,ColorLookup_Colors) = "brown"</formula>
    </cfRule>
    <cfRule type="expression" dxfId="19" priority="8" stopIfTrue="1">
      <formula>_xlfn.XLOOKUP(B1, ColorLookup_MultiNames,ColorLookup_Colors) = "green"</formula>
    </cfRule>
    <cfRule type="expression" dxfId="18" priority="9" stopIfTrue="1">
      <formula>_xlfn.XLOOKUP(B1, ColorLookup_MultiNames,ColorLookup_Colors) = "red"</formula>
    </cfRule>
    <cfRule type="expression" dxfId="17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16" priority="3" stopIfTrue="1">
      <formula>_xlfn.XLOOKUP(B1, ColorLookup_MultiNames,ColorLookup_Colors) = "purple"</formula>
    </cfRule>
  </conditionalFormatting>
  <conditionalFormatting sqref="C5:T8">
    <cfRule type="cellIs" dxfId="15" priority="2" operator="equal">
      <formula>0</formula>
    </cfRule>
  </conditionalFormatting>
  <conditionalFormatting sqref="C10:T13 C16:T19 C21:T24 C28:H30 B34:N43 B44:D45 C3:T3">
    <cfRule type="cellIs" dxfId="14" priority="11" operator="equal">
      <formula>0</formula>
    </cfRule>
  </conditionalFormatting>
  <conditionalFormatting sqref="C26:T26 C32:H32">
    <cfRule type="cellIs" dxfId="13" priority="12" operator="equal">
      <formula>0</formula>
    </cfRule>
  </conditionalFormatting>
  <conditionalFormatting sqref="I1:T2">
    <cfRule type="cellIs" dxfId="12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9&amp;R&amp;D</oddHeader>
  </headerFooter>
  <rowBreaks count="2" manualBreakCount="2">
    <brk id="13" max="20" man="1"/>
    <brk id="2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AAB2-9210-47A1-8872-64B147C82757}">
  <dimension ref="A1:U46"/>
  <sheetViews>
    <sheetView tabSelected="1" view="pageBreakPreview" topLeftCell="A16" zoomScale="60" zoomScaleNormal="70" zoomScalePageLayoutView="60" workbookViewId="0">
      <selection activeCell="R28" sqref="R28"/>
    </sheetView>
  </sheetViews>
  <sheetFormatPr defaultColWidth="0" defaultRowHeight="15.6" customHeight="1" zeroHeight="1"/>
  <cols>
    <col min="1" max="1" width="4.69921875" style="38" customWidth="1"/>
    <col min="2" max="2" width="26" style="38" customWidth="1"/>
    <col min="3" max="20" width="8.5" style="38" customWidth="1"/>
    <col min="21" max="21" width="4.69921875" style="38" customWidth="1"/>
    <col min="22" max="16384" width="10.796875" style="38" hidden="1"/>
  </cols>
  <sheetData>
    <row r="1" spans="1:21" ht="33.9" customHeight="1" thickTop="1" thickBot="1">
      <c r="A1" s="234"/>
      <c r="B1" s="391" t="s">
        <v>47</v>
      </c>
      <c r="C1" s="393" t="str">
        <f>'Rack 10'!B7</f>
        <v/>
      </c>
      <c r="D1" s="394"/>
      <c r="E1" s="394"/>
      <c r="F1" s="394"/>
      <c r="G1" s="394"/>
      <c r="H1" s="395"/>
      <c r="I1" s="374" t="str">
        <f>'Rack 10'!B14</f>
        <v/>
      </c>
      <c r="J1" s="375"/>
      <c r="K1" s="375"/>
      <c r="L1" s="375"/>
      <c r="M1" s="375"/>
      <c r="N1" s="376"/>
      <c r="O1" s="374" t="str">
        <f>'Rack 10'!B21</f>
        <v/>
      </c>
      <c r="P1" s="375"/>
      <c r="Q1" s="375"/>
      <c r="R1" s="375"/>
      <c r="S1" s="375"/>
      <c r="T1" s="376"/>
      <c r="U1" s="234"/>
    </row>
    <row r="2" spans="1:21" ht="33.9" customHeight="1" thickTop="1" thickBot="1">
      <c r="A2" s="25"/>
      <c r="B2" s="392"/>
      <c r="C2" s="396"/>
      <c r="D2" s="397"/>
      <c r="E2" s="397"/>
      <c r="F2" s="397"/>
      <c r="G2" s="397"/>
      <c r="H2" s="398"/>
      <c r="I2" s="377"/>
      <c r="J2" s="378"/>
      <c r="K2" s="378"/>
      <c r="L2" s="378"/>
      <c r="M2" s="378"/>
      <c r="N2" s="379"/>
      <c r="O2" s="377"/>
      <c r="P2" s="378"/>
      <c r="Q2" s="378"/>
      <c r="R2" s="378"/>
      <c r="S2" s="378"/>
      <c r="T2" s="379"/>
      <c r="U2" s="2"/>
    </row>
    <row r="3" spans="1:21" ht="66.900000000000006" customHeight="1" thickBot="1">
      <c r="A3" s="24"/>
      <c r="B3" s="179" t="s">
        <v>48</v>
      </c>
      <c r="C3" s="50" t="str">
        <f>'Rack 10'!E6</f>
        <v/>
      </c>
      <c r="D3" s="51" t="str">
        <f>'Rack 10'!E7</f>
        <v/>
      </c>
      <c r="E3" s="51" t="str">
        <f>'Rack 10'!E8</f>
        <v/>
      </c>
      <c r="F3" s="51" t="str">
        <f>'Rack 10'!E9</f>
        <v/>
      </c>
      <c r="G3" s="51" t="str">
        <f>'Rack 10'!E10</f>
        <v/>
      </c>
      <c r="H3" s="55" t="str">
        <f>'Rack 10'!E11</f>
        <v/>
      </c>
      <c r="I3" s="50" t="str">
        <f>'Rack 10'!E13</f>
        <v/>
      </c>
      <c r="J3" s="51" t="str">
        <f>'Rack 10'!E14</f>
        <v/>
      </c>
      <c r="K3" s="51" t="str">
        <f>'Rack 10'!E15</f>
        <v/>
      </c>
      <c r="L3" s="51" t="str">
        <f>'Rack 10'!E16</f>
        <v/>
      </c>
      <c r="M3" s="51" t="str">
        <f>'Rack 10'!E17</f>
        <v/>
      </c>
      <c r="N3" s="55" t="str">
        <f>'Rack 10'!E18</f>
        <v/>
      </c>
      <c r="O3" s="50" t="str">
        <f>'Rack 10'!E20</f>
        <v/>
      </c>
      <c r="P3" s="51" t="str">
        <f>'Rack 10'!E21</f>
        <v/>
      </c>
      <c r="Q3" s="51" t="str">
        <f>'Rack 10'!E22</f>
        <v/>
      </c>
      <c r="R3" s="51" t="str">
        <f>'Rack 10'!E23</f>
        <v/>
      </c>
      <c r="S3" s="51" t="str">
        <f>'Rack 10'!E24</f>
        <v/>
      </c>
      <c r="T3" s="56" t="str">
        <f>'Rack 10'!E25</f>
        <v/>
      </c>
      <c r="U3" s="26"/>
    </row>
    <row r="4" spans="1:21" ht="28.35" customHeight="1" thickTop="1" thickBot="1">
      <c r="A4" s="18"/>
      <c r="B4" s="179" t="s">
        <v>48</v>
      </c>
      <c r="C4" s="162">
        <v>1</v>
      </c>
      <c r="D4" s="163">
        <v>2</v>
      </c>
      <c r="E4" s="163">
        <v>3</v>
      </c>
      <c r="F4" s="163">
        <v>4</v>
      </c>
      <c r="G4" s="163">
        <v>5</v>
      </c>
      <c r="H4" s="164">
        <v>6</v>
      </c>
      <c r="I4" s="162">
        <v>7</v>
      </c>
      <c r="J4" s="163">
        <v>8</v>
      </c>
      <c r="K4" s="163">
        <v>9</v>
      </c>
      <c r="L4" s="163">
        <v>10</v>
      </c>
      <c r="M4" s="163">
        <v>11</v>
      </c>
      <c r="N4" s="164">
        <v>12</v>
      </c>
      <c r="O4" s="162">
        <v>13</v>
      </c>
      <c r="P4" s="163">
        <v>14</v>
      </c>
      <c r="Q4" s="163">
        <v>15</v>
      </c>
      <c r="R4" s="163">
        <v>16</v>
      </c>
      <c r="S4" s="163">
        <v>17</v>
      </c>
      <c r="T4" s="165">
        <v>18</v>
      </c>
      <c r="U4" s="27"/>
    </row>
    <row r="5" spans="1:21" ht="101.1" customHeight="1" thickBot="1">
      <c r="A5" s="3">
        <v>1.98</v>
      </c>
      <c r="B5" s="178" t="s">
        <v>49</v>
      </c>
      <c r="C5" s="52" t="str">
        <f>'Rack 10'!F6</f>
        <v/>
      </c>
      <c r="D5" s="53" t="str">
        <f>'Rack 10'!F7</f>
        <v/>
      </c>
      <c r="E5" s="53" t="str">
        <f>'Rack 10'!F8</f>
        <v/>
      </c>
      <c r="F5" s="53" t="str">
        <f>'Rack 10'!F9</f>
        <v/>
      </c>
      <c r="G5" s="53" t="str">
        <f>'Rack 10'!F10</f>
        <v/>
      </c>
      <c r="H5" s="54" t="str">
        <f>'Rack 10'!F11</f>
        <v/>
      </c>
      <c r="I5" s="52" t="str">
        <f>'Rack 10'!F13</f>
        <v/>
      </c>
      <c r="J5" s="53" t="str">
        <f>'Rack 10'!F14</f>
        <v/>
      </c>
      <c r="K5" s="53" t="str">
        <f>'Rack 10'!F15</f>
        <v/>
      </c>
      <c r="L5" s="53" t="str">
        <f>'Rack 10'!F16</f>
        <v/>
      </c>
      <c r="M5" s="53" t="str">
        <f>'Rack 10'!F17</f>
        <v/>
      </c>
      <c r="N5" s="54" t="str">
        <f>'Rack 10'!F18</f>
        <v/>
      </c>
      <c r="O5" s="52" t="str">
        <f>'Rack 10'!F20</f>
        <v/>
      </c>
      <c r="P5" s="53" t="str">
        <f>'Rack 10'!F21</f>
        <v/>
      </c>
      <c r="Q5" s="53" t="str">
        <f>'Rack 10'!F22</f>
        <v/>
      </c>
      <c r="R5" s="53" t="str">
        <f>'Rack 10'!F23</f>
        <v/>
      </c>
      <c r="S5" s="53" t="str">
        <f>'Rack 10'!F24</f>
        <v/>
      </c>
      <c r="T5" s="57" t="str">
        <f>'Rack 10'!F25</f>
        <v/>
      </c>
      <c r="U5" s="28"/>
    </row>
    <row r="6" spans="1:21" ht="33.9" customHeight="1" thickTop="1" thickBot="1">
      <c r="A6" s="5"/>
      <c r="B6" s="321" t="s">
        <v>47</v>
      </c>
      <c r="C6" s="374" t="str">
        <f>'Rack 10'!B28</f>
        <v/>
      </c>
      <c r="D6" s="375"/>
      <c r="E6" s="375"/>
      <c r="F6" s="375"/>
      <c r="G6" s="375"/>
      <c r="H6" s="376"/>
      <c r="I6" s="374" t="str">
        <f>'Rack 10'!B35</f>
        <v/>
      </c>
      <c r="J6" s="375"/>
      <c r="K6" s="375"/>
      <c r="L6" s="375"/>
      <c r="M6" s="375"/>
      <c r="N6" s="376"/>
      <c r="O6" s="374" t="str">
        <f>'Rack 10'!B42</f>
        <v/>
      </c>
      <c r="P6" s="375"/>
      <c r="Q6" s="375"/>
      <c r="R6" s="375"/>
      <c r="S6" s="375"/>
      <c r="T6" s="376"/>
      <c r="U6" s="23"/>
    </row>
    <row r="7" spans="1:21" ht="33.9" customHeight="1" thickTop="1" thickBot="1">
      <c r="A7" s="1"/>
      <c r="B7" s="322"/>
      <c r="C7" s="377"/>
      <c r="D7" s="378"/>
      <c r="E7" s="378"/>
      <c r="F7" s="378"/>
      <c r="G7" s="378"/>
      <c r="H7" s="379"/>
      <c r="I7" s="377"/>
      <c r="J7" s="378"/>
      <c r="K7" s="378"/>
      <c r="L7" s="378"/>
      <c r="M7" s="378"/>
      <c r="N7" s="379"/>
      <c r="O7" s="377"/>
      <c r="P7" s="378"/>
      <c r="Q7" s="378"/>
      <c r="R7" s="378"/>
      <c r="S7" s="378"/>
      <c r="T7" s="379"/>
      <c r="U7" s="29"/>
    </row>
    <row r="8" spans="1:21" ht="66.900000000000006" customHeight="1" thickBot="1">
      <c r="A8" s="14"/>
      <c r="B8" s="179" t="s">
        <v>48</v>
      </c>
      <c r="C8" s="50" t="str">
        <f>'Rack 10'!E27</f>
        <v/>
      </c>
      <c r="D8" s="51" t="str">
        <f>'Rack 10'!E28</f>
        <v/>
      </c>
      <c r="E8" s="51" t="str">
        <f>'Rack 10'!E29</f>
        <v/>
      </c>
      <c r="F8" s="51" t="str">
        <f>'Rack 10'!E30</f>
        <v/>
      </c>
      <c r="G8" s="51" t="str">
        <f>'Rack 10'!E31</f>
        <v/>
      </c>
      <c r="H8" s="55" t="str">
        <f>'Rack 10'!E32</f>
        <v/>
      </c>
      <c r="I8" s="50" t="str">
        <f>'Rack 10'!E34</f>
        <v/>
      </c>
      <c r="J8" s="51" t="str">
        <f>'Rack 10'!E35</f>
        <v/>
      </c>
      <c r="K8" s="51" t="str">
        <f>'Rack 10'!E36</f>
        <v/>
      </c>
      <c r="L8" s="51" t="str">
        <f>'Rack 10'!E37</f>
        <v/>
      </c>
      <c r="M8" s="51" t="str">
        <f>'Rack 10'!E38</f>
        <v/>
      </c>
      <c r="N8" s="55" t="str">
        <f>'Rack 10'!E39</f>
        <v/>
      </c>
      <c r="O8" s="50" t="str">
        <f>'Rack 10'!E41</f>
        <v/>
      </c>
      <c r="P8" s="51" t="str">
        <f>'Rack 10'!E42</f>
        <v/>
      </c>
      <c r="Q8" s="51" t="str">
        <f>'Rack 10'!E43</f>
        <v/>
      </c>
      <c r="R8" s="51" t="str">
        <f>'Rack 10'!E44</f>
        <v/>
      </c>
      <c r="S8" s="51" t="str">
        <f>'Rack 10'!E45</f>
        <v/>
      </c>
      <c r="T8" s="56" t="str">
        <f>'Rack 10'!E46</f>
        <v/>
      </c>
      <c r="U8" s="30"/>
    </row>
    <row r="9" spans="1:21" ht="28.35" customHeight="1" thickTop="1" thickBot="1">
      <c r="A9" s="18"/>
      <c r="B9" s="180"/>
      <c r="C9" s="162">
        <v>19</v>
      </c>
      <c r="D9" s="163">
        <v>20</v>
      </c>
      <c r="E9" s="163">
        <v>21</v>
      </c>
      <c r="F9" s="163">
        <v>22</v>
      </c>
      <c r="G9" s="163">
        <v>23</v>
      </c>
      <c r="H9" s="164">
        <v>24</v>
      </c>
      <c r="I9" s="162">
        <v>25</v>
      </c>
      <c r="J9" s="163">
        <v>26</v>
      </c>
      <c r="K9" s="163">
        <v>27</v>
      </c>
      <c r="L9" s="163">
        <v>28</v>
      </c>
      <c r="M9" s="163">
        <v>29</v>
      </c>
      <c r="N9" s="164">
        <v>30</v>
      </c>
      <c r="O9" s="162">
        <v>31</v>
      </c>
      <c r="P9" s="163">
        <v>32</v>
      </c>
      <c r="Q9" s="163">
        <v>33</v>
      </c>
      <c r="R9" s="163">
        <v>34</v>
      </c>
      <c r="S9" s="163">
        <v>35</v>
      </c>
      <c r="T9" s="165">
        <v>36</v>
      </c>
      <c r="U9" s="27"/>
    </row>
    <row r="10" spans="1:21" ht="101.1" customHeight="1" thickBot="1">
      <c r="A10" s="3"/>
      <c r="B10" s="179" t="s">
        <v>49</v>
      </c>
      <c r="C10" s="52" t="str">
        <f>'Rack 10'!F27</f>
        <v/>
      </c>
      <c r="D10" s="53" t="str">
        <f>'Rack 10'!F28</f>
        <v/>
      </c>
      <c r="E10" s="53" t="str">
        <f>'Rack 10'!F29</f>
        <v/>
      </c>
      <c r="F10" s="53" t="str">
        <f>'Rack 10'!F30</f>
        <v/>
      </c>
      <c r="G10" s="53" t="str">
        <f>'Rack 10'!F31</f>
        <v/>
      </c>
      <c r="H10" s="54" t="str">
        <f>'Rack 10'!F32</f>
        <v/>
      </c>
      <c r="I10" s="52" t="str">
        <f>'Rack 10'!F34</f>
        <v/>
      </c>
      <c r="J10" s="53" t="str">
        <f>'Rack 10'!F35</f>
        <v/>
      </c>
      <c r="K10" s="53" t="str">
        <f>'Rack 10'!F36</f>
        <v/>
      </c>
      <c r="L10" s="53" t="str">
        <f>'Rack 10'!F37</f>
        <v/>
      </c>
      <c r="M10" s="53" t="str">
        <f>'Rack 10'!F38</f>
        <v/>
      </c>
      <c r="N10" s="54" t="str">
        <f>'Rack 10'!F39</f>
        <v/>
      </c>
      <c r="O10" s="58" t="str">
        <f>'Rack 10'!F41</f>
        <v/>
      </c>
      <c r="P10" s="48" t="str">
        <f>'Rack 10'!F42</f>
        <v/>
      </c>
      <c r="Q10" s="48" t="str">
        <f>'Rack 10'!F43</f>
        <v/>
      </c>
      <c r="R10" s="48" t="str">
        <f>'Rack 10'!F44</f>
        <v/>
      </c>
      <c r="S10" s="48" t="str">
        <f>'Rack 10'!F45</f>
        <v/>
      </c>
      <c r="T10" s="59" t="str">
        <f>'Rack 10'!F46</f>
        <v/>
      </c>
      <c r="U10" s="28"/>
    </row>
    <row r="11" spans="1:21" ht="33.9" customHeight="1" thickTop="1" thickBot="1">
      <c r="A11" s="21"/>
      <c r="B11" s="321" t="s">
        <v>47</v>
      </c>
      <c r="C11" s="399" t="str">
        <f>'Rack 10'!B49</f>
        <v/>
      </c>
      <c r="D11" s="400"/>
      <c r="E11" s="400"/>
      <c r="F11" s="400"/>
      <c r="G11" s="400"/>
      <c r="H11" s="400"/>
      <c r="I11" s="401" t="str">
        <f>'Rack 10'!B56</f>
        <v/>
      </c>
      <c r="J11" s="402"/>
      <c r="K11" s="402"/>
      <c r="L11" s="402"/>
      <c r="M11" s="402"/>
      <c r="N11" s="402"/>
      <c r="O11" s="374" t="str">
        <f>'Rack 10'!B70</f>
        <v/>
      </c>
      <c r="P11" s="375"/>
      <c r="Q11" s="375"/>
      <c r="R11" s="375"/>
      <c r="S11" s="375"/>
      <c r="T11" s="376"/>
      <c r="U11" s="31"/>
    </row>
    <row r="12" spans="1:21" ht="33.9" customHeight="1" thickBot="1">
      <c r="A12" s="15"/>
      <c r="B12" s="322"/>
      <c r="C12" s="377"/>
      <c r="D12" s="378"/>
      <c r="E12" s="378"/>
      <c r="F12" s="378"/>
      <c r="G12" s="378"/>
      <c r="H12" s="378"/>
      <c r="I12" s="377"/>
      <c r="J12" s="378"/>
      <c r="K12" s="378"/>
      <c r="L12" s="378"/>
      <c r="M12" s="378"/>
      <c r="N12" s="378"/>
      <c r="O12" s="377"/>
      <c r="P12" s="378"/>
      <c r="Q12" s="378"/>
      <c r="R12" s="378"/>
      <c r="S12" s="378"/>
      <c r="T12" s="379"/>
      <c r="U12" s="32"/>
    </row>
    <row r="13" spans="1:21" ht="66.900000000000006" customHeight="1" thickBot="1">
      <c r="A13" s="233"/>
      <c r="B13" s="179" t="s">
        <v>48</v>
      </c>
      <c r="C13" s="50" t="str">
        <f>'Rack 10'!E48</f>
        <v/>
      </c>
      <c r="D13" s="51" t="str">
        <f>'Rack 10'!E49</f>
        <v/>
      </c>
      <c r="E13" s="51" t="str">
        <f>'Rack 10'!E50</f>
        <v/>
      </c>
      <c r="F13" s="51" t="str">
        <f>'Rack 10'!E51</f>
        <v/>
      </c>
      <c r="G13" s="51" t="str">
        <f>'Rack 10'!E52</f>
        <v/>
      </c>
      <c r="H13" s="55" t="str">
        <f>'Rack 10'!E53</f>
        <v/>
      </c>
      <c r="I13" s="50" t="str">
        <f>'Rack 10'!E55</f>
        <v/>
      </c>
      <c r="J13" s="51" t="str">
        <f>'Rack 10'!E56</f>
        <v/>
      </c>
      <c r="K13" s="51" t="str">
        <f>'Rack 10'!E57</f>
        <v/>
      </c>
      <c r="L13" s="51" t="str">
        <f>'Rack 10'!E58</f>
        <v/>
      </c>
      <c r="M13" s="51" t="str">
        <f>'Rack 10'!E59</f>
        <v/>
      </c>
      <c r="N13" s="55" t="str">
        <f>'Rack 10'!E60</f>
        <v/>
      </c>
      <c r="O13" s="50" t="str">
        <f>'Rack 10'!E69</f>
        <v/>
      </c>
      <c r="P13" s="51" t="str">
        <f>'Rack 10'!E70</f>
        <v/>
      </c>
      <c r="Q13" s="51" t="str">
        <f>'Rack 10'!E71</f>
        <v/>
      </c>
      <c r="R13" s="51" t="str">
        <f>'Rack 10'!E72</f>
        <v/>
      </c>
      <c r="S13" s="51" t="str">
        <f>'Rack 10'!E73</f>
        <v/>
      </c>
      <c r="T13" s="56" t="str">
        <f>'Rack 10'!E74</f>
        <v/>
      </c>
      <c r="U13" s="30"/>
    </row>
    <row r="14" spans="1:21" ht="87" customHeight="1" thickTop="1" thickBot="1">
      <c r="A14" s="210"/>
      <c r="B14" s="211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3"/>
    </row>
    <row r="15" spans="1:21" ht="27.9" customHeight="1" thickTop="1" thickBot="1">
      <c r="A15" s="236"/>
      <c r="B15" s="185"/>
      <c r="C15" s="166">
        <v>37</v>
      </c>
      <c r="D15" s="167">
        <v>38</v>
      </c>
      <c r="E15" s="167">
        <v>39</v>
      </c>
      <c r="F15" s="167">
        <v>40</v>
      </c>
      <c r="G15" s="167">
        <v>41</v>
      </c>
      <c r="H15" s="168">
        <v>42</v>
      </c>
      <c r="I15" s="166">
        <v>43</v>
      </c>
      <c r="J15" s="167">
        <v>44</v>
      </c>
      <c r="K15" s="167">
        <v>45</v>
      </c>
      <c r="L15" s="167">
        <v>46</v>
      </c>
      <c r="M15" s="167">
        <v>47</v>
      </c>
      <c r="N15" s="168">
        <v>48</v>
      </c>
      <c r="O15" s="166">
        <v>49</v>
      </c>
      <c r="P15" s="167">
        <v>50</v>
      </c>
      <c r="Q15" s="167">
        <v>51</v>
      </c>
      <c r="R15" s="167">
        <v>52</v>
      </c>
      <c r="S15" s="167">
        <v>53</v>
      </c>
      <c r="T15" s="169">
        <v>54</v>
      </c>
      <c r="U15" s="235"/>
    </row>
    <row r="16" spans="1:21" ht="101.1" customHeight="1" thickBot="1">
      <c r="A16" s="33"/>
      <c r="B16" s="181" t="s">
        <v>49</v>
      </c>
      <c r="C16" s="52" t="str">
        <f>'Rack 10'!F48</f>
        <v/>
      </c>
      <c r="D16" s="53" t="str">
        <f>'Rack 10'!F49</f>
        <v/>
      </c>
      <c r="E16" s="53" t="str">
        <f>'Rack 10'!F50</f>
        <v/>
      </c>
      <c r="F16" s="53" t="str">
        <f>'Rack 10'!F51</f>
        <v/>
      </c>
      <c r="G16" s="53" t="str">
        <f>'Rack 10'!F52</f>
        <v/>
      </c>
      <c r="H16" s="54" t="str">
        <f>'Rack 10'!F53</f>
        <v/>
      </c>
      <c r="I16" s="52" t="str">
        <f>'Rack 10'!F55</f>
        <v/>
      </c>
      <c r="J16" s="53" t="str">
        <f>'Rack 10'!F56</f>
        <v/>
      </c>
      <c r="K16" s="53" t="str">
        <f>'Rack 10'!F57</f>
        <v/>
      </c>
      <c r="L16" s="53" t="str">
        <f>'Rack 10'!F58</f>
        <v/>
      </c>
      <c r="M16" s="53" t="str">
        <f>'Rack 10'!F59</f>
        <v/>
      </c>
      <c r="N16" s="54" t="str">
        <f>'Rack 10'!F60</f>
        <v/>
      </c>
      <c r="O16" s="52" t="str">
        <f>'Rack 10'!F69</f>
        <v/>
      </c>
      <c r="P16" s="53" t="str">
        <f>'Rack 10'!F70</f>
        <v/>
      </c>
      <c r="Q16" s="53" t="str">
        <f>'Rack 10'!F71</f>
        <v/>
      </c>
      <c r="R16" s="53" t="str">
        <f>'Rack 10'!F72</f>
        <v/>
      </c>
      <c r="S16" s="53" t="str">
        <f>'Rack 10'!F73</f>
        <v/>
      </c>
      <c r="T16" s="57" t="str">
        <f>'Rack 10'!F74</f>
        <v/>
      </c>
      <c r="U16" s="34"/>
    </row>
    <row r="17" spans="1:21" ht="33.9" customHeight="1" thickTop="1">
      <c r="A17" s="16"/>
      <c r="B17" s="341" t="s">
        <v>47</v>
      </c>
      <c r="C17" s="342" t="str">
        <f>'Rack 10'!B77</f>
        <v/>
      </c>
      <c r="D17" s="343"/>
      <c r="E17" s="343"/>
      <c r="F17" s="343"/>
      <c r="G17" s="343"/>
      <c r="H17" s="343"/>
      <c r="I17" s="342" t="str">
        <f>'Rack 10'!B84</f>
        <v/>
      </c>
      <c r="J17" s="343"/>
      <c r="K17" s="343"/>
      <c r="L17" s="343"/>
      <c r="M17" s="343"/>
      <c r="N17" s="343"/>
      <c r="O17" s="342" t="str">
        <f>'Rack 10'!B91</f>
        <v/>
      </c>
      <c r="P17" s="343"/>
      <c r="Q17" s="343"/>
      <c r="R17" s="343"/>
      <c r="S17" s="343"/>
      <c r="T17" s="346"/>
      <c r="U17" s="23"/>
    </row>
    <row r="18" spans="1:21" ht="33.9" customHeight="1" thickBot="1">
      <c r="A18" s="4"/>
      <c r="B18" s="322"/>
      <c r="C18" s="344"/>
      <c r="D18" s="345"/>
      <c r="E18" s="345"/>
      <c r="F18" s="345"/>
      <c r="G18" s="345"/>
      <c r="H18" s="345"/>
      <c r="I18" s="344"/>
      <c r="J18" s="345"/>
      <c r="K18" s="345"/>
      <c r="L18" s="345"/>
      <c r="M18" s="345"/>
      <c r="N18" s="345"/>
      <c r="O18" s="344"/>
      <c r="P18" s="345"/>
      <c r="Q18" s="345"/>
      <c r="R18" s="345"/>
      <c r="S18" s="345"/>
      <c r="T18" s="347"/>
      <c r="U18" s="17"/>
    </row>
    <row r="19" spans="1:21" ht="66.75" customHeight="1" thickBot="1">
      <c r="A19" s="22"/>
      <c r="B19" s="179" t="s">
        <v>48</v>
      </c>
      <c r="C19" s="50" t="str">
        <f>'Rack 10'!E76</f>
        <v/>
      </c>
      <c r="D19" s="51" t="str">
        <f>'Rack 10'!E77</f>
        <v/>
      </c>
      <c r="E19" s="51" t="str">
        <f>'Rack 10'!E78</f>
        <v/>
      </c>
      <c r="F19" s="51" t="str">
        <f>'Rack 10'!E79</f>
        <v/>
      </c>
      <c r="G19" s="51" t="str">
        <f>'Rack 10'!E80</f>
        <v/>
      </c>
      <c r="H19" s="55" t="str">
        <f>'Rack 10'!E81</f>
        <v/>
      </c>
      <c r="I19" s="50" t="str">
        <f>'Rack 10'!E83</f>
        <v/>
      </c>
      <c r="J19" s="51" t="str">
        <f>'Rack 10'!E84</f>
        <v/>
      </c>
      <c r="K19" s="51" t="str">
        <f>'Rack 10'!E85</f>
        <v/>
      </c>
      <c r="L19" s="51" t="str">
        <f>'Rack 10'!E86</f>
        <v/>
      </c>
      <c r="M19" s="51" t="str">
        <f>'Rack 10'!E87</f>
        <v/>
      </c>
      <c r="N19" s="55" t="str">
        <f>'Rack 10'!E88</f>
        <v/>
      </c>
      <c r="O19" s="50" t="str">
        <f>'Rack 10'!E90</f>
        <v/>
      </c>
      <c r="P19" s="51" t="str">
        <f>'Rack 10'!E91</f>
        <v/>
      </c>
      <c r="Q19" s="51" t="str">
        <f>'Rack 10'!E92</f>
        <v/>
      </c>
      <c r="R19" s="51" t="str">
        <f>'Rack 10'!E93</f>
        <v/>
      </c>
      <c r="S19" s="51" t="str">
        <f>'Rack 10'!E94</f>
        <v/>
      </c>
      <c r="T19" s="56" t="str">
        <f>'Rack 10'!E95</f>
        <v/>
      </c>
      <c r="U19" s="26"/>
    </row>
    <row r="20" spans="1:21" ht="27.9" customHeight="1" thickTop="1" thickBot="1">
      <c r="A20" s="4"/>
      <c r="B20" s="182"/>
      <c r="C20" s="170">
        <v>55</v>
      </c>
      <c r="D20" s="171">
        <v>56</v>
      </c>
      <c r="E20" s="171">
        <v>57</v>
      </c>
      <c r="F20" s="171">
        <v>58</v>
      </c>
      <c r="G20" s="171">
        <v>59</v>
      </c>
      <c r="H20" s="172">
        <v>60</v>
      </c>
      <c r="I20" s="170">
        <v>61</v>
      </c>
      <c r="J20" s="171">
        <v>62</v>
      </c>
      <c r="K20" s="171">
        <v>63</v>
      </c>
      <c r="L20" s="171">
        <v>64</v>
      </c>
      <c r="M20" s="171">
        <v>65</v>
      </c>
      <c r="N20" s="172">
        <v>66</v>
      </c>
      <c r="O20" s="170">
        <v>67</v>
      </c>
      <c r="P20" s="171">
        <v>68</v>
      </c>
      <c r="Q20" s="171">
        <v>69</v>
      </c>
      <c r="R20" s="171">
        <v>70</v>
      </c>
      <c r="S20" s="171">
        <v>71</v>
      </c>
      <c r="T20" s="173">
        <v>72</v>
      </c>
      <c r="U20" s="27"/>
    </row>
    <row r="21" spans="1:21" ht="101.1" customHeight="1" thickBot="1">
      <c r="A21" s="4"/>
      <c r="B21" s="178" t="s">
        <v>49</v>
      </c>
      <c r="C21" s="52" t="str">
        <f>'Rack 10'!F76</f>
        <v/>
      </c>
      <c r="D21" s="53" t="str">
        <f>'Rack 10'!F77</f>
        <v/>
      </c>
      <c r="E21" s="53" t="str">
        <f>'Rack 10'!F78</f>
        <v/>
      </c>
      <c r="F21" s="53" t="str">
        <f>'Rack 10'!F79</f>
        <v/>
      </c>
      <c r="G21" s="53" t="str">
        <f>'Rack 10'!F80</f>
        <v/>
      </c>
      <c r="H21" s="54" t="str">
        <f>'Rack 10'!F81</f>
        <v/>
      </c>
      <c r="I21" s="52" t="str">
        <f>'Rack 10'!F83</f>
        <v/>
      </c>
      <c r="J21" s="53" t="str">
        <f>'Rack 10'!F84</f>
        <v/>
      </c>
      <c r="K21" s="53" t="str">
        <f>'Rack 10'!F85</f>
        <v/>
      </c>
      <c r="L21" s="53" t="str">
        <f>'Rack 10'!F86</f>
        <v/>
      </c>
      <c r="M21" s="53" t="str">
        <f>'Rack 10'!F87</f>
        <v/>
      </c>
      <c r="N21" s="54" t="str">
        <f>'Rack 10'!F88</f>
        <v/>
      </c>
      <c r="O21" s="52" t="str">
        <f>'Rack 10'!F90</f>
        <v/>
      </c>
      <c r="P21" s="53" t="str">
        <f>'Rack 10'!F91</f>
        <v/>
      </c>
      <c r="Q21" s="53" t="str">
        <f>'Rack 10'!F92</f>
        <v/>
      </c>
      <c r="R21" s="53" t="str">
        <f>'Rack 10'!F93</f>
        <v/>
      </c>
      <c r="S21" s="53" t="str">
        <f>'Rack 10'!F94</f>
        <v/>
      </c>
      <c r="T21" s="57" t="str">
        <f>'Rack 10'!F95</f>
        <v/>
      </c>
      <c r="U21" s="28"/>
    </row>
    <row r="22" spans="1:21" ht="33.9" customHeight="1" thickTop="1" thickBot="1">
      <c r="A22" s="4"/>
      <c r="B22" s="321" t="s">
        <v>47</v>
      </c>
      <c r="C22" s="348" t="str">
        <f>'Rack 10'!B98</f>
        <v/>
      </c>
      <c r="D22" s="349"/>
      <c r="E22" s="349"/>
      <c r="F22" s="349"/>
      <c r="G22" s="349"/>
      <c r="H22" s="349"/>
      <c r="I22" s="348" t="str">
        <f>'Rack 10'!B105</f>
        <v/>
      </c>
      <c r="J22" s="349"/>
      <c r="K22" s="349"/>
      <c r="L22" s="349"/>
      <c r="M22" s="349"/>
      <c r="N22" s="349"/>
      <c r="O22" s="348" t="str">
        <f>'Rack 10'!B112</f>
        <v/>
      </c>
      <c r="P22" s="349"/>
      <c r="Q22" s="349"/>
      <c r="R22" s="349"/>
      <c r="S22" s="349"/>
      <c r="T22" s="350"/>
      <c r="U22" s="23"/>
    </row>
    <row r="23" spans="1:21" ht="33.9" customHeight="1" thickTop="1" thickBot="1">
      <c r="A23" s="4"/>
      <c r="B23" s="322"/>
      <c r="C23" s="344"/>
      <c r="D23" s="345"/>
      <c r="E23" s="345"/>
      <c r="F23" s="345"/>
      <c r="G23" s="345"/>
      <c r="H23" s="345"/>
      <c r="I23" s="344"/>
      <c r="J23" s="345"/>
      <c r="K23" s="345"/>
      <c r="L23" s="345"/>
      <c r="M23" s="345"/>
      <c r="N23" s="345"/>
      <c r="O23" s="344"/>
      <c r="P23" s="345"/>
      <c r="Q23" s="345"/>
      <c r="R23" s="345"/>
      <c r="S23" s="345"/>
      <c r="T23" s="347"/>
      <c r="U23" s="29"/>
    </row>
    <row r="24" spans="1:21" ht="66.75" customHeight="1" thickBot="1">
      <c r="A24" s="22"/>
      <c r="B24" s="179" t="s">
        <v>48</v>
      </c>
      <c r="C24" s="60" t="str">
        <f>'Rack 10'!E97</f>
        <v/>
      </c>
      <c r="D24" s="61" t="str">
        <f>'Rack 10'!E98</f>
        <v/>
      </c>
      <c r="E24" s="61" t="str">
        <f>'Rack 10'!E99</f>
        <v/>
      </c>
      <c r="F24" s="61" t="str">
        <f>'Rack 10'!E100</f>
        <v/>
      </c>
      <c r="G24" s="61" t="str">
        <f>'Rack 10'!E101</f>
        <v/>
      </c>
      <c r="H24" s="62" t="str">
        <f>'Rack 10'!E102</f>
        <v/>
      </c>
      <c r="I24" s="60" t="str">
        <f>'Rack 10'!E104</f>
        <v/>
      </c>
      <c r="J24" s="61" t="str">
        <f>'Rack 10'!E105</f>
        <v/>
      </c>
      <c r="K24" s="61" t="str">
        <f>'Rack 10'!E106</f>
        <v/>
      </c>
      <c r="L24" s="61" t="str">
        <f>'Rack 10'!E107</f>
        <v/>
      </c>
      <c r="M24" s="61" t="str">
        <f>'Rack 10'!E108</f>
        <v/>
      </c>
      <c r="N24" s="62" t="str">
        <f>'Rack 10'!E109</f>
        <v/>
      </c>
      <c r="O24" s="60" t="str">
        <f>'Rack 10'!E111</f>
        <v/>
      </c>
      <c r="P24" s="61" t="str">
        <f>'Rack 10'!E112</f>
        <v/>
      </c>
      <c r="Q24" s="61" t="str">
        <f>'Rack 10'!E113</f>
        <v/>
      </c>
      <c r="R24" s="61" t="str">
        <f>'Rack 10'!E114</f>
        <v/>
      </c>
      <c r="S24" s="61" t="str">
        <f>'Rack 10'!E115</f>
        <v/>
      </c>
      <c r="T24" s="63" t="str">
        <f>'Rack 10'!E116</f>
        <v/>
      </c>
      <c r="U24" s="30"/>
    </row>
    <row r="25" spans="1:21" ht="27.9" customHeight="1" thickTop="1" thickBot="1">
      <c r="A25" s="4"/>
      <c r="B25" s="183"/>
      <c r="C25" s="174">
        <v>73</v>
      </c>
      <c r="D25" s="175">
        <v>74</v>
      </c>
      <c r="E25" s="175">
        <v>75</v>
      </c>
      <c r="F25" s="175">
        <v>76</v>
      </c>
      <c r="G25" s="175">
        <v>77</v>
      </c>
      <c r="H25" s="176">
        <v>78</v>
      </c>
      <c r="I25" s="174">
        <v>79</v>
      </c>
      <c r="J25" s="175">
        <v>80</v>
      </c>
      <c r="K25" s="175">
        <v>81</v>
      </c>
      <c r="L25" s="175">
        <v>82</v>
      </c>
      <c r="M25" s="175">
        <v>83</v>
      </c>
      <c r="N25" s="176">
        <v>84</v>
      </c>
      <c r="O25" s="174">
        <v>85</v>
      </c>
      <c r="P25" s="175">
        <v>86</v>
      </c>
      <c r="Q25" s="175">
        <v>87</v>
      </c>
      <c r="R25" s="175">
        <v>88</v>
      </c>
      <c r="S25" s="175">
        <v>89</v>
      </c>
      <c r="T25" s="177">
        <v>90</v>
      </c>
      <c r="U25" s="35"/>
    </row>
    <row r="26" spans="1:21" ht="101.1" customHeight="1" thickBot="1">
      <c r="A26" s="229"/>
      <c r="B26" s="184" t="s">
        <v>49</v>
      </c>
      <c r="C26" s="52" t="str">
        <f>'Rack 10'!F97</f>
        <v/>
      </c>
      <c r="D26" s="53" t="str">
        <f>'Rack 10'!F98</f>
        <v/>
      </c>
      <c r="E26" s="53" t="str">
        <f>'Rack 10'!F99</f>
        <v/>
      </c>
      <c r="F26" s="53" t="str">
        <f>'Rack 10'!F100</f>
        <v/>
      </c>
      <c r="G26" s="53" t="str">
        <f>'Rack 10'!F101</f>
        <v/>
      </c>
      <c r="H26" s="54" t="str">
        <f>'Rack 10'!F102</f>
        <v/>
      </c>
      <c r="I26" s="52" t="str">
        <f>'Rack 10'!F104</f>
        <v/>
      </c>
      <c r="J26" s="53" t="str">
        <f>'Rack 10'!F105</f>
        <v/>
      </c>
      <c r="K26" s="53" t="str">
        <f>'Rack 10'!F106</f>
        <v/>
      </c>
      <c r="L26" s="53" t="str">
        <f>'Rack 10'!F107</f>
        <v/>
      </c>
      <c r="M26" s="53" t="str">
        <f>'Rack 10'!F108</f>
        <v/>
      </c>
      <c r="N26" s="54" t="str">
        <f>'Rack 10'!F109</f>
        <v/>
      </c>
      <c r="O26" s="52" t="str">
        <f>'Rack 10'!F111</f>
        <v/>
      </c>
      <c r="P26" s="53" t="str">
        <f>'Rack 10'!F112</f>
        <v/>
      </c>
      <c r="Q26" s="53" t="str">
        <f>'Rack 10'!F113</f>
        <v/>
      </c>
      <c r="R26" s="53" t="str">
        <f>'Rack 10'!F114</f>
        <v/>
      </c>
      <c r="S26" s="53" t="str">
        <f>'Rack 10'!F115</f>
        <v/>
      </c>
      <c r="T26" s="57" t="str">
        <f>'Rack 10'!F116</f>
        <v/>
      </c>
      <c r="U26" s="230"/>
    </row>
    <row r="27" spans="1:21" s="208" customFormat="1" ht="101.1" customHeight="1" thickTop="1" thickBot="1">
      <c r="B27" s="214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</row>
    <row r="28" spans="1:21" s="208" customFormat="1" ht="33.9" customHeight="1" thickTop="1" thickBot="1">
      <c r="A28" s="237"/>
      <c r="B28" s="356" t="s">
        <v>47</v>
      </c>
      <c r="C28" s="358" t="str">
        <f>'Rack 10'!B119</f>
        <v/>
      </c>
      <c r="D28" s="359"/>
      <c r="E28" s="359"/>
      <c r="F28" s="359"/>
      <c r="G28" s="359"/>
      <c r="H28" s="359"/>
      <c r="I28" s="238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</row>
    <row r="29" spans="1:21" ht="33.9" customHeight="1" thickBot="1">
      <c r="A29" s="19"/>
      <c r="B29" s="357"/>
      <c r="C29" s="360"/>
      <c r="D29" s="361"/>
      <c r="E29" s="361"/>
      <c r="F29" s="361"/>
      <c r="G29" s="361"/>
      <c r="H29" s="361"/>
      <c r="I29" s="49"/>
      <c r="J29" s="209"/>
      <c r="K29" s="209"/>
      <c r="L29" s="323" t="s">
        <v>74</v>
      </c>
      <c r="M29" s="324"/>
      <c r="N29" s="324"/>
      <c r="O29" s="324"/>
      <c r="P29" s="324"/>
      <c r="Q29" s="325"/>
      <c r="R29" s="209"/>
      <c r="S29" s="209"/>
      <c r="T29" s="209"/>
      <c r="U29" s="213"/>
    </row>
    <row r="30" spans="1:21" ht="66.75" customHeight="1" thickBot="1">
      <c r="A30" s="20"/>
      <c r="B30" s="178" t="s">
        <v>48</v>
      </c>
      <c r="C30" s="60" t="str">
        <f>'Rack 10'!E118</f>
        <v/>
      </c>
      <c r="D30" s="61" t="str">
        <f>'Rack 10'!E119</f>
        <v/>
      </c>
      <c r="E30" s="61" t="str">
        <f>'Rack 10'!E120</f>
        <v/>
      </c>
      <c r="F30" s="61" t="str">
        <f>'Rack 10'!E121</f>
        <v/>
      </c>
      <c r="G30" s="61" t="str">
        <f>'Rack 10'!E122</f>
        <v/>
      </c>
      <c r="H30" s="226" t="str">
        <f>'Rack 10'!E123</f>
        <v/>
      </c>
      <c r="I30" s="227"/>
      <c r="J30" s="216"/>
      <c r="K30" s="216"/>
      <c r="L30" s="326"/>
      <c r="M30" s="327"/>
      <c r="N30" s="327"/>
      <c r="O30" s="327"/>
      <c r="P30" s="327"/>
      <c r="Q30" s="328"/>
      <c r="R30" s="216"/>
      <c r="S30" s="216"/>
      <c r="T30" s="216"/>
      <c r="U30" s="213"/>
    </row>
    <row r="31" spans="1:21" ht="27.9" customHeight="1" thickTop="1" thickBot="1">
      <c r="A31" s="4"/>
      <c r="B31" s="183"/>
      <c r="C31" s="174">
        <v>91</v>
      </c>
      <c r="D31" s="175">
        <v>92</v>
      </c>
      <c r="E31" s="175">
        <v>93</v>
      </c>
      <c r="F31" s="175">
        <v>94</v>
      </c>
      <c r="G31" s="175">
        <v>95</v>
      </c>
      <c r="H31" s="176">
        <v>96</v>
      </c>
      <c r="I31" s="228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102" customHeight="1" thickBot="1">
      <c r="A32" s="231"/>
      <c r="B32" s="181" t="s">
        <v>49</v>
      </c>
      <c r="C32" s="52" t="str">
        <f>'Rack 10'!F118</f>
        <v/>
      </c>
      <c r="D32" s="53" t="str">
        <f>'Rack 10'!F119</f>
        <v/>
      </c>
      <c r="E32" s="53" t="str">
        <f>'Rack 10'!F120</f>
        <v/>
      </c>
      <c r="F32" s="53" t="str">
        <f>'Rack 10'!F121</f>
        <v/>
      </c>
      <c r="G32" s="53" t="str">
        <f>'Rack 10'!F122</f>
        <v/>
      </c>
      <c r="H32" s="54" t="str">
        <f>'Rack 10'!F123</f>
        <v/>
      </c>
      <c r="I32" s="232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9"/>
    </row>
    <row r="33" spans="1:19" ht="16.8" thickTop="1" thickBot="1"/>
    <row r="34" spans="1:19" s="209" customFormat="1" ht="32.1" customHeight="1" thickTop="1">
      <c r="A34" s="220"/>
      <c r="B34" s="362" t="str">
        <f>C1</f>
        <v/>
      </c>
      <c r="C34" s="363"/>
      <c r="D34" s="364"/>
      <c r="E34" s="367" t="str">
        <f>I1</f>
        <v/>
      </c>
      <c r="F34" s="363"/>
      <c r="G34" s="363"/>
      <c r="H34" s="363"/>
      <c r="I34" s="368"/>
      <c r="J34" s="370" t="str">
        <f>O1</f>
        <v/>
      </c>
      <c r="K34" s="368"/>
      <c r="L34" s="368"/>
      <c r="M34" s="368"/>
      <c r="N34" s="371"/>
      <c r="O34" s="221"/>
      <c r="P34" s="222"/>
      <c r="Q34" s="222"/>
      <c r="R34" s="222"/>
      <c r="S34" s="222"/>
    </row>
    <row r="35" spans="1:19" s="209" customFormat="1" ht="32.1" customHeight="1" thickBot="1">
      <c r="A35" s="220"/>
      <c r="B35" s="365"/>
      <c r="C35" s="365"/>
      <c r="D35" s="366"/>
      <c r="E35" s="369"/>
      <c r="F35" s="365"/>
      <c r="G35" s="365"/>
      <c r="H35" s="365"/>
      <c r="I35" s="365"/>
      <c r="J35" s="372"/>
      <c r="K35" s="365"/>
      <c r="L35" s="365"/>
      <c r="M35" s="365"/>
      <c r="N35" s="373"/>
      <c r="O35" s="221"/>
      <c r="P35" s="222"/>
      <c r="Q35" s="222"/>
      <c r="R35" s="222"/>
      <c r="S35" s="222"/>
    </row>
    <row r="36" spans="1:19" s="209" customFormat="1" ht="32.1" customHeight="1" thickTop="1">
      <c r="A36" s="220"/>
      <c r="B36" s="329" t="str">
        <f>C6</f>
        <v/>
      </c>
      <c r="C36" s="330"/>
      <c r="D36" s="331"/>
      <c r="E36" s="335" t="str">
        <f>I6</f>
        <v/>
      </c>
      <c r="F36" s="330"/>
      <c r="G36" s="330"/>
      <c r="H36" s="330"/>
      <c r="I36" s="330"/>
      <c r="J36" s="337" t="str">
        <f>O6</f>
        <v/>
      </c>
      <c r="K36" s="329"/>
      <c r="L36" s="329"/>
      <c r="M36" s="329"/>
      <c r="N36" s="338"/>
      <c r="O36" s="222"/>
      <c r="P36" s="222"/>
      <c r="Q36" s="222"/>
      <c r="R36" s="222"/>
      <c r="S36" s="222"/>
    </row>
    <row r="37" spans="1:19" s="209" customFormat="1" ht="32.1" customHeight="1" thickBot="1">
      <c r="A37" s="220"/>
      <c r="B37" s="332"/>
      <c r="C37" s="333"/>
      <c r="D37" s="334"/>
      <c r="E37" s="336"/>
      <c r="F37" s="333"/>
      <c r="G37" s="333"/>
      <c r="H37" s="333"/>
      <c r="I37" s="332"/>
      <c r="J37" s="339"/>
      <c r="K37" s="332"/>
      <c r="L37" s="332"/>
      <c r="M37" s="332"/>
      <c r="N37" s="340"/>
      <c r="O37" s="222"/>
      <c r="P37" s="222"/>
      <c r="Q37" s="222"/>
      <c r="R37" s="222"/>
      <c r="S37" s="222"/>
    </row>
    <row r="38" spans="1:19" s="209" customFormat="1" ht="32.1" customHeight="1" thickTop="1">
      <c r="A38" s="220"/>
      <c r="B38" s="329" t="str">
        <f>C11</f>
        <v/>
      </c>
      <c r="C38" s="330"/>
      <c r="D38" s="331"/>
      <c r="E38" s="335" t="str">
        <f>I11</f>
        <v/>
      </c>
      <c r="F38" s="330"/>
      <c r="G38" s="330"/>
      <c r="H38" s="330"/>
      <c r="I38" s="330"/>
      <c r="J38" s="337" t="str">
        <f>O11</f>
        <v/>
      </c>
      <c r="K38" s="329"/>
      <c r="L38" s="329"/>
      <c r="M38" s="329"/>
      <c r="N38" s="338"/>
      <c r="O38" s="222"/>
      <c r="P38" s="222"/>
      <c r="Q38" s="222"/>
      <c r="R38" s="222"/>
      <c r="S38" s="222"/>
    </row>
    <row r="39" spans="1:19" s="209" customFormat="1" ht="32.1" customHeight="1" thickBot="1">
      <c r="A39" s="220"/>
      <c r="B39" s="332"/>
      <c r="C39" s="333"/>
      <c r="D39" s="334"/>
      <c r="E39" s="336"/>
      <c r="F39" s="333"/>
      <c r="G39" s="333"/>
      <c r="H39" s="333"/>
      <c r="I39" s="332"/>
      <c r="J39" s="339"/>
      <c r="K39" s="332"/>
      <c r="L39" s="332"/>
      <c r="M39" s="332"/>
      <c r="N39" s="340"/>
      <c r="O39" s="222"/>
      <c r="P39" s="222"/>
      <c r="Q39" s="222"/>
      <c r="R39" s="222"/>
      <c r="S39" s="222"/>
    </row>
    <row r="40" spans="1:19" s="209" customFormat="1" ht="32.1" customHeight="1" thickTop="1">
      <c r="A40" s="220"/>
      <c r="B40" s="329" t="str">
        <f>C17</f>
        <v/>
      </c>
      <c r="C40" s="330"/>
      <c r="D40" s="331"/>
      <c r="E40" s="335" t="str">
        <f>I17</f>
        <v/>
      </c>
      <c r="F40" s="330"/>
      <c r="G40" s="330"/>
      <c r="H40" s="330"/>
      <c r="I40" s="330"/>
      <c r="J40" s="337" t="str">
        <f>O17</f>
        <v/>
      </c>
      <c r="K40" s="329"/>
      <c r="L40" s="329"/>
      <c r="M40" s="329"/>
      <c r="N40" s="338"/>
      <c r="O40" s="222"/>
      <c r="P40" s="222"/>
      <c r="Q40" s="222"/>
      <c r="R40" s="222"/>
      <c r="S40" s="222"/>
    </row>
    <row r="41" spans="1:19" s="209" customFormat="1" ht="32.1" customHeight="1" thickBot="1">
      <c r="A41" s="220"/>
      <c r="B41" s="351"/>
      <c r="C41" s="351"/>
      <c r="D41" s="352"/>
      <c r="E41" s="353"/>
      <c r="F41" s="351"/>
      <c r="G41" s="351"/>
      <c r="H41" s="351"/>
      <c r="I41" s="351"/>
      <c r="J41" s="354"/>
      <c r="K41" s="351"/>
      <c r="L41" s="351"/>
      <c r="M41" s="351"/>
      <c r="N41" s="355"/>
      <c r="O41" s="222"/>
      <c r="P41" s="222"/>
      <c r="Q41" s="222"/>
      <c r="R41" s="222"/>
      <c r="S41" s="222"/>
    </row>
    <row r="42" spans="1:19" ht="30.9" customHeight="1" thickTop="1">
      <c r="A42" s="223"/>
      <c r="B42" s="380" t="str">
        <f>C22</f>
        <v/>
      </c>
      <c r="C42" s="381"/>
      <c r="D42" s="382"/>
      <c r="E42" s="385" t="str">
        <f>I22</f>
        <v/>
      </c>
      <c r="F42" s="381"/>
      <c r="G42" s="381"/>
      <c r="H42" s="381"/>
      <c r="I42" s="380"/>
      <c r="J42" s="388" t="str">
        <f>O22</f>
        <v/>
      </c>
      <c r="K42" s="380"/>
      <c r="L42" s="380"/>
      <c r="M42" s="380"/>
      <c r="N42" s="389"/>
    </row>
    <row r="43" spans="1:19" ht="30.9" customHeight="1" thickBot="1">
      <c r="A43" s="223"/>
      <c r="B43" s="383"/>
      <c r="C43" s="383"/>
      <c r="D43" s="384"/>
      <c r="E43" s="386"/>
      <c r="F43" s="387"/>
      <c r="G43" s="387"/>
      <c r="H43" s="387"/>
      <c r="I43" s="387"/>
      <c r="J43" s="386"/>
      <c r="K43" s="387"/>
      <c r="L43" s="387"/>
      <c r="M43" s="387"/>
      <c r="N43" s="390"/>
    </row>
    <row r="44" spans="1:19" ht="30.9" customHeight="1" thickTop="1">
      <c r="A44" s="223"/>
      <c r="B44" s="380" t="str">
        <f>C28</f>
        <v/>
      </c>
      <c r="C44" s="381"/>
      <c r="D44" s="382"/>
      <c r="E44" s="224"/>
    </row>
    <row r="45" spans="1:19" ht="30.9" customHeight="1" thickBot="1">
      <c r="A45" s="223"/>
      <c r="B45" s="387"/>
      <c r="C45" s="387"/>
      <c r="D45" s="390"/>
      <c r="E45" s="225"/>
    </row>
    <row r="46" spans="1:19" ht="30.9" customHeight="1" thickTop="1"/>
  </sheetData>
  <mergeCells count="39">
    <mergeCell ref="B42:D43"/>
    <mergeCell ref="E42:I43"/>
    <mergeCell ref="J42:N43"/>
    <mergeCell ref="B44:D45"/>
    <mergeCell ref="B38:D39"/>
    <mergeCell ref="E38:I39"/>
    <mergeCell ref="J38:N39"/>
    <mergeCell ref="B40:D41"/>
    <mergeCell ref="E40:I41"/>
    <mergeCell ref="J40:N41"/>
    <mergeCell ref="B34:D35"/>
    <mergeCell ref="E34:I35"/>
    <mergeCell ref="J34:N35"/>
    <mergeCell ref="B36:D37"/>
    <mergeCell ref="E36:I37"/>
    <mergeCell ref="J36:N37"/>
    <mergeCell ref="B22:B23"/>
    <mergeCell ref="C22:H23"/>
    <mergeCell ref="I22:N23"/>
    <mergeCell ref="O22:T23"/>
    <mergeCell ref="B28:B29"/>
    <mergeCell ref="C28:H29"/>
    <mergeCell ref="L29:Q30"/>
    <mergeCell ref="B11:B12"/>
    <mergeCell ref="C11:H12"/>
    <mergeCell ref="I11:N12"/>
    <mergeCell ref="O11:T12"/>
    <mergeCell ref="B17:B18"/>
    <mergeCell ref="C17:H18"/>
    <mergeCell ref="I17:N18"/>
    <mergeCell ref="O17:T18"/>
    <mergeCell ref="B1:B2"/>
    <mergeCell ref="C1:H2"/>
    <mergeCell ref="I1:N2"/>
    <mergeCell ref="O1:T2"/>
    <mergeCell ref="B6:B7"/>
    <mergeCell ref="C6:H7"/>
    <mergeCell ref="I6:N7"/>
    <mergeCell ref="O6:T7"/>
  </mergeCells>
  <conditionalFormatting sqref="C1 I1 O1 C6 I6 O6 C11 I11 O11 C17 I17 O17 C22 I22 O22 C28 B34 E34 J34 B36 E36 J36 B38 E38 J38 B40 E40 J40 B42 E42 J42 B44">
    <cfRule type="expression" dxfId="11" priority="4" stopIfTrue="1">
      <formula>_xlfn.XLOOKUP(B1, ColorLookup_MultiNames,ColorLookup_Colors) = "grey"</formula>
    </cfRule>
    <cfRule type="expression" dxfId="10" priority="5" stopIfTrue="1">
      <formula>_xlfn.XLOOKUP(B1, ColorLookup_MultiNames,ColorLookup_Colors) = "yellow"</formula>
    </cfRule>
    <cfRule type="expression" dxfId="9" priority="6" stopIfTrue="1">
      <formula>_xlfn.XLOOKUP(B1, ColorLookup_MultiNames,ColorLookup_Colors) = "orange"</formula>
    </cfRule>
    <cfRule type="expression" dxfId="8" priority="7" stopIfTrue="1">
      <formula>_xlfn.XLOOKUP(B1, ColorLookup_MultiNames,ColorLookup_Colors) = "brown"</formula>
    </cfRule>
    <cfRule type="expression" dxfId="7" priority="8" stopIfTrue="1">
      <formula>_xlfn.XLOOKUP(B1, ColorLookup_MultiNames,ColorLookup_Colors) = "green"</formula>
    </cfRule>
    <cfRule type="expression" dxfId="6" priority="9" stopIfTrue="1">
      <formula>_xlfn.XLOOKUP(B1, ColorLookup_MultiNames,ColorLookup_Colors) = "red"</formula>
    </cfRule>
    <cfRule type="expression" dxfId="5" priority="10" stopIfTrue="1">
      <formula>_xlfn.XLOOKUP(B1, ColorLookup_MultiNames,ColorLookup_Colors) = "blue"</formula>
    </cfRule>
  </conditionalFormatting>
  <conditionalFormatting sqref="C6 I6 O6 I1 O1 C1 C11 I11 O11 C17 I17 O17 C22 I22 O22 C28 B34 E34 J34 B36 E36 J36 B38 E38 J38 B40 E40 J40 B42 E42 J42 B44">
    <cfRule type="expression" dxfId="4" priority="3" stopIfTrue="1">
      <formula>_xlfn.XLOOKUP(B1, ColorLookup_MultiNames,ColorLookup_Colors) = "purple"</formula>
    </cfRule>
  </conditionalFormatting>
  <conditionalFormatting sqref="C5:T8">
    <cfRule type="cellIs" dxfId="3" priority="2" operator="equal">
      <formula>0</formula>
    </cfRule>
  </conditionalFormatting>
  <conditionalFormatting sqref="C10:T13 C16:T19 C21:T24 C28:H30 B34:N43 B44:D45 C3:T3">
    <cfRule type="cellIs" dxfId="2" priority="11" operator="equal">
      <formula>0</formula>
    </cfRule>
  </conditionalFormatting>
  <conditionalFormatting sqref="C26:T26 C32:H32">
    <cfRule type="cellIs" dxfId="1" priority="12" operator="equal">
      <formula>0</formula>
    </cfRule>
  </conditionalFormatting>
  <conditionalFormatting sqref="I1:T2">
    <cfRule type="cellIs" dxfId="0" priority="1" operator="equal">
      <formula>0</formula>
    </cfRule>
  </conditionalFormatting>
  <pageMargins left="0.3298611111111111" right="0.46875" top="0.90277777777777779" bottom="0.75" header="0.3" footer="0.3"/>
  <pageSetup paperSize="8" scale="91" orientation="landscape" r:id="rId1"/>
  <headerFooter>
    <oddHeader>&amp;L&amp;"System Font,Regular"&amp;10&amp;K000000&amp;F
&amp;C96 way 10&amp;R&amp;D</oddHeader>
  </headerFooter>
  <rowBreaks count="2" manualBreakCount="2">
    <brk id="13" max="20" man="1"/>
    <brk id="2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B9420-C6A2-44F3-9A13-8D309782D9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20</vt:i4>
      </vt:variant>
    </vt:vector>
  </HeadingPairs>
  <TitlesOfParts>
    <vt:vector size="49" baseType="lpstr">
      <vt:lpstr>Fixtures</vt:lpstr>
      <vt:lpstr>DMX</vt:lpstr>
      <vt:lpstr>SNEAK</vt:lpstr>
      <vt:lpstr>Parameters</vt:lpstr>
      <vt:lpstr>Fixture Types</vt:lpstr>
      <vt:lpstr>Color Lookup</vt:lpstr>
      <vt:lpstr>Power Patch</vt:lpstr>
      <vt:lpstr>Rack 1</vt:lpstr>
      <vt:lpstr>Rack 2</vt:lpstr>
      <vt:lpstr>Rack 3</vt:lpstr>
      <vt:lpstr>Rack 4</vt:lpstr>
      <vt:lpstr>Rack 5</vt:lpstr>
      <vt:lpstr>Rack 6</vt:lpstr>
      <vt:lpstr>Rack 7</vt:lpstr>
      <vt:lpstr>Rack 8</vt:lpstr>
      <vt:lpstr>Rack 9</vt:lpstr>
      <vt:lpstr>Rack 10</vt:lpstr>
      <vt:lpstr>48Way Dimmer</vt:lpstr>
      <vt:lpstr>48Way Distro</vt:lpstr>
      <vt:lpstr>96way Labels 1</vt:lpstr>
      <vt:lpstr>96way Labels 2</vt:lpstr>
      <vt:lpstr>96way Labels 3</vt:lpstr>
      <vt:lpstr>96way Labels 4</vt:lpstr>
      <vt:lpstr>96way Labels 5</vt:lpstr>
      <vt:lpstr>96way Labels 6</vt:lpstr>
      <vt:lpstr>96way Labels 7</vt:lpstr>
      <vt:lpstr>96way Labels 8</vt:lpstr>
      <vt:lpstr>96way Labels 9</vt:lpstr>
      <vt:lpstr>96way Labels 10</vt:lpstr>
      <vt:lpstr>ACTIVE_ML</vt:lpstr>
      <vt:lpstr>ActiveFixtureNames</vt:lpstr>
      <vt:lpstr>ActiveFixtures</vt:lpstr>
      <vt:lpstr>ColorLookup_Colors</vt:lpstr>
      <vt:lpstr>ColorLookup_MultiNames</vt:lpstr>
      <vt:lpstr>CON_fixturesamps</vt:lpstr>
      <vt:lpstr>cwd</vt:lpstr>
      <vt:lpstr>filename</vt:lpstr>
      <vt:lpstr>ML_FixturesAmps</vt:lpstr>
      <vt:lpstr>DMX!Print_Area</vt:lpstr>
      <vt:lpstr>'Rack 1'!Print_Area</vt:lpstr>
      <vt:lpstr>'Rack 10'!Print_Area</vt:lpstr>
      <vt:lpstr>'Rack 2'!Print_Area</vt:lpstr>
      <vt:lpstr>'Rack 3'!Print_Area</vt:lpstr>
      <vt:lpstr>'Rack 4'!Print_Area</vt:lpstr>
      <vt:lpstr>'Rack 5'!Print_Area</vt:lpstr>
      <vt:lpstr>'Rack 6'!Print_Area</vt:lpstr>
      <vt:lpstr>'Rack 7'!Print_Area</vt:lpstr>
      <vt:lpstr>'Rack 8'!Print_Area</vt:lpstr>
      <vt:lpstr>'Rack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BLANEY</dc:creator>
  <cp:lastModifiedBy>Charlie Hall</cp:lastModifiedBy>
  <cp:lastPrinted>2026-03-07T08:21:47Z</cp:lastPrinted>
  <dcterms:created xsi:type="dcterms:W3CDTF">2018-10-18T09:11:37Z</dcterms:created>
  <dcterms:modified xsi:type="dcterms:W3CDTF">2026-03-07T08:21:51Z</dcterms:modified>
</cp:coreProperties>
</file>