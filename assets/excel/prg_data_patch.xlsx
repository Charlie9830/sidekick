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\Documents\Code Projects\sidekick\assets\excel\"/>
    </mc:Choice>
  </mc:AlternateContent>
  <xr:revisionPtr revIDLastSave="0" documentId="13_ncr:1_{2246744F-690C-4CFF-A88A-AEAFB63C74C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A" sheetId="7" r:id="rId1"/>
    <sheet name="NODE40" sheetId="5" r:id="rId2"/>
    <sheet name="NODE32" sheetId="10" r:id="rId3"/>
    <sheet name="NODE24" sheetId="11" r:id="rId4"/>
    <sheet name="NODE16" sheetId="12" r:id="rId5"/>
    <sheet name="NPU40" sheetId="13" r:id="rId6"/>
    <sheet name="Parameters" sheetId="16" r:id="rId7"/>
    <sheet name="Data Patch" sheetId="15" r:id="rId8"/>
  </sheets>
  <definedNames>
    <definedName name="cwd">Parameters!$B$2</definedName>
    <definedName name="Data_Patch_Color_Lookup">'Data Patch'!$F$1:$F$231</definedName>
    <definedName name="Data_Patch_Lookup">'Data Patch'!$B$1:$B$231</definedName>
    <definedName name="ExternalData_1" localSheetId="7" hidden="1">'Data Patch'!$M$1:$T$9</definedName>
    <definedName name="ExternalData_2" localSheetId="7" hidden="1">'Data Patch'!$A$1:$F$145</definedName>
    <definedName name="filename">Parameters!$B$3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6" l="1" a="1"/>
  <c r="B2" i="16" s="1"/>
  <c r="I25" i="13"/>
  <c r="H25" i="13"/>
  <c r="G25" i="13"/>
  <c r="F25" i="13"/>
  <c r="E25" i="13"/>
  <c r="D25" i="13"/>
  <c r="C25" i="13"/>
  <c r="B25" i="13"/>
  <c r="I24" i="13"/>
  <c r="H24" i="13"/>
  <c r="G24" i="13"/>
  <c r="F24" i="13"/>
  <c r="E24" i="13"/>
  <c r="D24" i="13"/>
  <c r="C24" i="13"/>
  <c r="B24" i="13"/>
  <c r="I23" i="13"/>
  <c r="H23" i="13"/>
  <c r="G23" i="13"/>
  <c r="F23" i="13"/>
  <c r="E23" i="13"/>
  <c r="D23" i="13"/>
  <c r="C23" i="13"/>
  <c r="B23" i="13"/>
  <c r="I20" i="13"/>
  <c r="H20" i="13"/>
  <c r="G20" i="13"/>
  <c r="F20" i="13"/>
  <c r="E20" i="13"/>
  <c r="D20" i="13"/>
  <c r="C20" i="13"/>
  <c r="B20" i="13"/>
  <c r="I19" i="13"/>
  <c r="H19" i="13"/>
  <c r="G19" i="13"/>
  <c r="F19" i="13"/>
  <c r="E19" i="13"/>
  <c r="D19" i="13"/>
  <c r="C19" i="13"/>
  <c r="B19" i="13"/>
  <c r="I18" i="13"/>
  <c r="H18" i="13"/>
  <c r="G18" i="13"/>
  <c r="F18" i="13"/>
  <c r="E18" i="13"/>
  <c r="D18" i="13"/>
  <c r="C18" i="13"/>
  <c r="B18" i="13"/>
  <c r="I15" i="13"/>
  <c r="H15" i="13"/>
  <c r="G15" i="13"/>
  <c r="F15" i="13"/>
  <c r="E15" i="13"/>
  <c r="D15" i="13"/>
  <c r="C15" i="13"/>
  <c r="B15" i="13"/>
  <c r="I14" i="13"/>
  <c r="H14" i="13"/>
  <c r="G14" i="13"/>
  <c r="F14" i="13"/>
  <c r="E14" i="13"/>
  <c r="D14" i="13"/>
  <c r="C14" i="13"/>
  <c r="B14" i="13"/>
  <c r="I13" i="13"/>
  <c r="H13" i="13"/>
  <c r="G13" i="13"/>
  <c r="F13" i="13"/>
  <c r="E13" i="13"/>
  <c r="D13" i="13"/>
  <c r="C13" i="13"/>
  <c r="B13" i="13"/>
  <c r="I10" i="13"/>
  <c r="H10" i="13"/>
  <c r="G10" i="13"/>
  <c r="F10" i="13"/>
  <c r="E10" i="13"/>
  <c r="D10" i="13"/>
  <c r="C10" i="13"/>
  <c r="B10" i="13"/>
  <c r="I9" i="13"/>
  <c r="H9" i="13"/>
  <c r="G9" i="13"/>
  <c r="F9" i="13"/>
  <c r="E9" i="13"/>
  <c r="D9" i="13"/>
  <c r="C9" i="13"/>
  <c r="B9" i="13"/>
  <c r="I8" i="13"/>
  <c r="H8" i="13"/>
  <c r="G8" i="13"/>
  <c r="F8" i="13"/>
  <c r="E8" i="13"/>
  <c r="D8" i="13"/>
  <c r="C8" i="13"/>
  <c r="B8" i="13"/>
  <c r="I5" i="13"/>
  <c r="H5" i="13"/>
  <c r="G5" i="13"/>
  <c r="F5" i="13"/>
  <c r="E5" i="13"/>
  <c r="D5" i="13"/>
  <c r="C5" i="13"/>
  <c r="B5" i="13"/>
  <c r="I4" i="13"/>
  <c r="H4" i="13"/>
  <c r="G4" i="13"/>
  <c r="F4" i="13"/>
  <c r="E4" i="13"/>
  <c r="D4" i="13"/>
  <c r="C4" i="13"/>
  <c r="B4" i="13"/>
  <c r="I3" i="13"/>
  <c r="H3" i="13"/>
  <c r="G3" i="13"/>
  <c r="F3" i="13"/>
  <c r="E3" i="13"/>
  <c r="D3" i="13"/>
  <c r="C3" i="13"/>
  <c r="B3" i="13"/>
  <c r="N2" i="13"/>
  <c r="I10" i="12"/>
  <c r="H10" i="12"/>
  <c r="G10" i="12"/>
  <c r="F10" i="12"/>
  <c r="E10" i="12"/>
  <c r="D10" i="12"/>
  <c r="C10" i="12"/>
  <c r="B10" i="12"/>
  <c r="I9" i="12"/>
  <c r="H9" i="12"/>
  <c r="G9" i="12"/>
  <c r="F9" i="12"/>
  <c r="E9" i="12"/>
  <c r="D9" i="12"/>
  <c r="C9" i="12"/>
  <c r="B9" i="12"/>
  <c r="I8" i="12"/>
  <c r="H8" i="12"/>
  <c r="G8" i="12"/>
  <c r="F8" i="12"/>
  <c r="E8" i="12"/>
  <c r="D8" i="12"/>
  <c r="C8" i="12"/>
  <c r="B8" i="12"/>
  <c r="I5" i="12"/>
  <c r="H5" i="12"/>
  <c r="G5" i="12"/>
  <c r="F5" i="12"/>
  <c r="E5" i="12"/>
  <c r="D5" i="12"/>
  <c r="C5" i="12"/>
  <c r="B5" i="12"/>
  <c r="I4" i="12"/>
  <c r="H4" i="12"/>
  <c r="G4" i="12"/>
  <c r="F4" i="12"/>
  <c r="E4" i="12"/>
  <c r="D4" i="12"/>
  <c r="C4" i="12"/>
  <c r="B4" i="12"/>
  <c r="I3" i="12"/>
  <c r="H3" i="12"/>
  <c r="G3" i="12"/>
  <c r="F3" i="12"/>
  <c r="E3" i="12"/>
  <c r="D3" i="12"/>
  <c r="C3" i="12"/>
  <c r="B3" i="12"/>
  <c r="N2" i="12"/>
  <c r="I15" i="11"/>
  <c r="H15" i="11"/>
  <c r="G15" i="11"/>
  <c r="F15" i="11"/>
  <c r="E15" i="11"/>
  <c r="D15" i="11"/>
  <c r="C15" i="11"/>
  <c r="B15" i="11"/>
  <c r="I14" i="11"/>
  <c r="H14" i="11"/>
  <c r="G14" i="11"/>
  <c r="F14" i="11"/>
  <c r="E14" i="11"/>
  <c r="D14" i="11"/>
  <c r="C14" i="11"/>
  <c r="B14" i="11"/>
  <c r="I13" i="11"/>
  <c r="H13" i="11"/>
  <c r="G13" i="11"/>
  <c r="F13" i="11"/>
  <c r="E13" i="11"/>
  <c r="D13" i="11"/>
  <c r="C13" i="11"/>
  <c r="B13" i="11"/>
  <c r="I10" i="11"/>
  <c r="H10" i="11"/>
  <c r="G10" i="11"/>
  <c r="F10" i="11"/>
  <c r="E10" i="11"/>
  <c r="D10" i="11"/>
  <c r="C10" i="11"/>
  <c r="B10" i="11"/>
  <c r="I9" i="11"/>
  <c r="H9" i="11"/>
  <c r="G9" i="11"/>
  <c r="F9" i="11"/>
  <c r="E9" i="11"/>
  <c r="D9" i="11"/>
  <c r="C9" i="11"/>
  <c r="B9" i="11"/>
  <c r="I8" i="11"/>
  <c r="H8" i="11"/>
  <c r="G8" i="11"/>
  <c r="F8" i="11"/>
  <c r="E8" i="11"/>
  <c r="D8" i="11"/>
  <c r="C8" i="11"/>
  <c r="B8" i="11"/>
  <c r="I5" i="11"/>
  <c r="H5" i="11"/>
  <c r="G5" i="11"/>
  <c r="F5" i="11"/>
  <c r="E5" i="11"/>
  <c r="D5" i="11"/>
  <c r="C5" i="11"/>
  <c r="B5" i="11"/>
  <c r="I4" i="11"/>
  <c r="H4" i="11"/>
  <c r="G4" i="11"/>
  <c r="F4" i="11"/>
  <c r="E4" i="11"/>
  <c r="D4" i="11"/>
  <c r="C4" i="11"/>
  <c r="B4" i="11"/>
  <c r="I3" i="11"/>
  <c r="H3" i="11"/>
  <c r="G3" i="11"/>
  <c r="F3" i="11"/>
  <c r="E3" i="11"/>
  <c r="D3" i="11"/>
  <c r="C3" i="11"/>
  <c r="B3" i="11"/>
  <c r="N2" i="11"/>
  <c r="I20" i="10"/>
  <c r="H20" i="10"/>
  <c r="G20" i="10"/>
  <c r="F20" i="10"/>
  <c r="E20" i="10"/>
  <c r="D20" i="10"/>
  <c r="C20" i="10"/>
  <c r="B20" i="10"/>
  <c r="I19" i="10"/>
  <c r="H19" i="10"/>
  <c r="G19" i="10"/>
  <c r="F19" i="10"/>
  <c r="E19" i="10"/>
  <c r="D19" i="10"/>
  <c r="C19" i="10"/>
  <c r="B19" i="10"/>
  <c r="I18" i="10"/>
  <c r="H18" i="10"/>
  <c r="G18" i="10"/>
  <c r="F18" i="10"/>
  <c r="E18" i="10"/>
  <c r="D18" i="10"/>
  <c r="C18" i="10"/>
  <c r="B18" i="10"/>
  <c r="I15" i="10"/>
  <c r="H15" i="10"/>
  <c r="G15" i="10"/>
  <c r="F15" i="10"/>
  <c r="E15" i="10"/>
  <c r="D15" i="10"/>
  <c r="C15" i="10"/>
  <c r="B15" i="10"/>
  <c r="I14" i="10"/>
  <c r="H14" i="10"/>
  <c r="G14" i="10"/>
  <c r="F14" i="10"/>
  <c r="E14" i="10"/>
  <c r="D14" i="10"/>
  <c r="C14" i="10"/>
  <c r="B14" i="10"/>
  <c r="I13" i="10"/>
  <c r="H13" i="10"/>
  <c r="G13" i="10"/>
  <c r="F13" i="10"/>
  <c r="E13" i="10"/>
  <c r="D13" i="10"/>
  <c r="C13" i="10"/>
  <c r="B13" i="10"/>
  <c r="I10" i="10"/>
  <c r="H10" i="10"/>
  <c r="G10" i="10"/>
  <c r="F10" i="10"/>
  <c r="E10" i="10"/>
  <c r="D10" i="10"/>
  <c r="C10" i="10"/>
  <c r="B10" i="10"/>
  <c r="I9" i="10"/>
  <c r="H9" i="10"/>
  <c r="G9" i="10"/>
  <c r="F9" i="10"/>
  <c r="E9" i="10"/>
  <c r="D9" i="10"/>
  <c r="C9" i="10"/>
  <c r="B9" i="10"/>
  <c r="I8" i="10"/>
  <c r="H8" i="10"/>
  <c r="G8" i="10"/>
  <c r="F8" i="10"/>
  <c r="E8" i="10"/>
  <c r="D8" i="10"/>
  <c r="C8" i="10"/>
  <c r="B8" i="10"/>
  <c r="I5" i="10"/>
  <c r="H5" i="10"/>
  <c r="G5" i="10"/>
  <c r="F5" i="10"/>
  <c r="E5" i="10"/>
  <c r="D5" i="10"/>
  <c r="C5" i="10"/>
  <c r="B5" i="10"/>
  <c r="I4" i="10"/>
  <c r="H4" i="10"/>
  <c r="G4" i="10"/>
  <c r="F4" i="10"/>
  <c r="E4" i="10"/>
  <c r="D4" i="10"/>
  <c r="C4" i="10"/>
  <c r="B4" i="10"/>
  <c r="I3" i="10"/>
  <c r="H3" i="10"/>
  <c r="G3" i="10"/>
  <c r="F3" i="10"/>
  <c r="E3" i="10"/>
  <c r="D3" i="10"/>
  <c r="C3" i="10"/>
  <c r="B3" i="10"/>
  <c r="N2" i="10"/>
  <c r="I25" i="5"/>
  <c r="H25" i="5"/>
  <c r="G25" i="5"/>
  <c r="F25" i="5"/>
  <c r="E25" i="5"/>
  <c r="D25" i="5"/>
  <c r="C25" i="5"/>
  <c r="B25" i="5"/>
  <c r="I24" i="5"/>
  <c r="H24" i="5"/>
  <c r="G24" i="5"/>
  <c r="F24" i="5"/>
  <c r="E24" i="5"/>
  <c r="D24" i="5"/>
  <c r="C24" i="5"/>
  <c r="B24" i="5"/>
  <c r="I23" i="5"/>
  <c r="H23" i="5"/>
  <c r="G23" i="5"/>
  <c r="F23" i="5"/>
  <c r="E23" i="5"/>
  <c r="D23" i="5"/>
  <c r="C23" i="5"/>
  <c r="B23" i="5"/>
  <c r="I20" i="5"/>
  <c r="H20" i="5"/>
  <c r="G20" i="5"/>
  <c r="F20" i="5"/>
  <c r="E20" i="5"/>
  <c r="D20" i="5"/>
  <c r="C20" i="5"/>
  <c r="B20" i="5"/>
  <c r="I19" i="5"/>
  <c r="H19" i="5"/>
  <c r="G19" i="5"/>
  <c r="F19" i="5"/>
  <c r="E19" i="5"/>
  <c r="D19" i="5"/>
  <c r="C19" i="5"/>
  <c r="B19" i="5"/>
  <c r="I18" i="5"/>
  <c r="H18" i="5"/>
  <c r="G18" i="5"/>
  <c r="F18" i="5"/>
  <c r="E18" i="5"/>
  <c r="D18" i="5"/>
  <c r="C18" i="5"/>
  <c r="B18" i="5"/>
  <c r="I15" i="5"/>
  <c r="H15" i="5"/>
  <c r="G15" i="5"/>
  <c r="F15" i="5"/>
  <c r="E15" i="5"/>
  <c r="D15" i="5"/>
  <c r="C15" i="5"/>
  <c r="B15" i="5"/>
  <c r="I14" i="5"/>
  <c r="H14" i="5"/>
  <c r="G14" i="5"/>
  <c r="F14" i="5"/>
  <c r="E14" i="5"/>
  <c r="D14" i="5"/>
  <c r="C14" i="5"/>
  <c r="B14" i="5"/>
  <c r="I13" i="5"/>
  <c r="H13" i="5"/>
  <c r="G13" i="5"/>
  <c r="F13" i="5"/>
  <c r="E13" i="5"/>
  <c r="D13" i="5"/>
  <c r="C13" i="5"/>
  <c r="B13" i="5"/>
  <c r="Q10" i="5"/>
  <c r="I10" i="5"/>
  <c r="H10" i="5"/>
  <c r="G10" i="5"/>
  <c r="F10" i="5"/>
  <c r="E10" i="5"/>
  <c r="D10" i="5"/>
  <c r="C10" i="5"/>
  <c r="B10" i="5"/>
  <c r="I9" i="5"/>
  <c r="H9" i="5"/>
  <c r="G9" i="5"/>
  <c r="F9" i="5"/>
  <c r="E9" i="5"/>
  <c r="D9" i="5"/>
  <c r="C9" i="5"/>
  <c r="B9" i="5"/>
  <c r="I8" i="5"/>
  <c r="H8" i="5"/>
  <c r="G8" i="5"/>
  <c r="F8" i="5"/>
  <c r="E8" i="5"/>
  <c r="D8" i="5"/>
  <c r="C8" i="5"/>
  <c r="B8" i="5"/>
  <c r="I5" i="5"/>
  <c r="H5" i="5"/>
  <c r="G5" i="5"/>
  <c r="F5" i="5"/>
  <c r="E5" i="5"/>
  <c r="D5" i="5"/>
  <c r="C5" i="5"/>
  <c r="B5" i="5"/>
  <c r="I4" i="5"/>
  <c r="H4" i="5"/>
  <c r="G4" i="5"/>
  <c r="F4" i="5"/>
  <c r="E4" i="5"/>
  <c r="D4" i="5"/>
  <c r="C4" i="5"/>
  <c r="B4" i="5"/>
  <c r="I3" i="5"/>
  <c r="H3" i="5"/>
  <c r="G3" i="5"/>
  <c r="F3" i="5"/>
  <c r="E3" i="5"/>
  <c r="D3" i="5"/>
  <c r="C3" i="5"/>
  <c r="B3" i="5"/>
  <c r="N2" i="5"/>
  <c r="I34" i="13"/>
  <c r="H34" i="13"/>
  <c r="G34" i="13"/>
  <c r="F34" i="13"/>
  <c r="E34" i="13"/>
  <c r="D34" i="13"/>
  <c r="C34" i="13"/>
  <c r="B34" i="13"/>
  <c r="I33" i="13"/>
  <c r="H33" i="13"/>
  <c r="G33" i="13"/>
  <c r="F33" i="13"/>
  <c r="E33" i="13"/>
  <c r="D33" i="13"/>
  <c r="C33" i="13"/>
  <c r="B33" i="13"/>
  <c r="I32" i="13"/>
  <c r="H32" i="13"/>
  <c r="G32" i="13"/>
  <c r="F32" i="13"/>
  <c r="E32" i="13"/>
  <c r="D32" i="13"/>
  <c r="C32" i="13"/>
  <c r="B32" i="13"/>
  <c r="I31" i="13"/>
  <c r="H31" i="13"/>
  <c r="G31" i="13"/>
  <c r="F31" i="13"/>
  <c r="E31" i="13"/>
  <c r="D31" i="13"/>
  <c r="C31" i="13"/>
  <c r="B31" i="13"/>
  <c r="I30" i="13"/>
  <c r="H30" i="13"/>
  <c r="G30" i="13"/>
  <c r="F30" i="13"/>
  <c r="E30" i="13"/>
  <c r="D30" i="13"/>
  <c r="C30" i="13"/>
  <c r="B30" i="13"/>
  <c r="I19" i="12"/>
  <c r="H19" i="12"/>
  <c r="G19" i="12"/>
  <c r="F19" i="12"/>
  <c r="E19" i="12"/>
  <c r="D19" i="12"/>
  <c r="C19" i="12"/>
  <c r="B19" i="12"/>
  <c r="I18" i="12"/>
  <c r="H18" i="12"/>
  <c r="G18" i="12"/>
  <c r="F18" i="12"/>
  <c r="E18" i="12"/>
  <c r="D18" i="12"/>
  <c r="C18" i="12"/>
  <c r="B18" i="12"/>
  <c r="I17" i="12"/>
  <c r="H17" i="12"/>
  <c r="G17" i="12"/>
  <c r="F17" i="12"/>
  <c r="E17" i="12"/>
  <c r="D17" i="12"/>
  <c r="C17" i="12"/>
  <c r="B17" i="12"/>
  <c r="I16" i="12"/>
  <c r="H16" i="12"/>
  <c r="G16" i="12"/>
  <c r="F16" i="12"/>
  <c r="E16" i="12"/>
  <c r="D16" i="12"/>
  <c r="C16" i="12"/>
  <c r="B16" i="12"/>
  <c r="I15" i="12"/>
  <c r="H15" i="12"/>
  <c r="G15" i="12"/>
  <c r="F15" i="12"/>
  <c r="E15" i="12"/>
  <c r="D15" i="12"/>
  <c r="C15" i="12"/>
  <c r="B15" i="12"/>
  <c r="I24" i="11"/>
  <c r="H24" i="11"/>
  <c r="G24" i="11"/>
  <c r="F24" i="11"/>
  <c r="E24" i="11"/>
  <c r="D24" i="11"/>
  <c r="C24" i="11"/>
  <c r="B24" i="11"/>
  <c r="I23" i="11"/>
  <c r="H23" i="11"/>
  <c r="G23" i="11"/>
  <c r="F23" i="11"/>
  <c r="E23" i="11"/>
  <c r="D23" i="11"/>
  <c r="C23" i="11"/>
  <c r="B23" i="11"/>
  <c r="I22" i="11"/>
  <c r="H22" i="11"/>
  <c r="G22" i="11"/>
  <c r="F22" i="11"/>
  <c r="E22" i="11"/>
  <c r="D22" i="11"/>
  <c r="C22" i="11"/>
  <c r="B22" i="11"/>
  <c r="I21" i="11"/>
  <c r="H21" i="11"/>
  <c r="G21" i="11"/>
  <c r="F21" i="11"/>
  <c r="E21" i="11"/>
  <c r="D21" i="11"/>
  <c r="C21" i="11"/>
  <c r="B21" i="11"/>
  <c r="I20" i="11"/>
  <c r="H20" i="11"/>
  <c r="G20" i="11"/>
  <c r="F20" i="11"/>
  <c r="E20" i="11"/>
  <c r="D20" i="11"/>
  <c r="C20" i="11"/>
  <c r="B20" i="11"/>
  <c r="I29" i="10"/>
  <c r="H29" i="10"/>
  <c r="G29" i="10"/>
  <c r="F29" i="10"/>
  <c r="E29" i="10"/>
  <c r="D29" i="10"/>
  <c r="C29" i="10"/>
  <c r="B29" i="10"/>
  <c r="I28" i="10"/>
  <c r="H28" i="10"/>
  <c r="G28" i="10"/>
  <c r="F28" i="10"/>
  <c r="E28" i="10"/>
  <c r="D28" i="10"/>
  <c r="C28" i="10"/>
  <c r="B28" i="10"/>
  <c r="I27" i="10"/>
  <c r="H27" i="10"/>
  <c r="G27" i="10"/>
  <c r="F27" i="10"/>
  <c r="E27" i="10"/>
  <c r="D27" i="10"/>
  <c r="C27" i="10"/>
  <c r="B27" i="10"/>
  <c r="I26" i="10"/>
  <c r="H26" i="10"/>
  <c r="G26" i="10"/>
  <c r="F26" i="10"/>
  <c r="E26" i="10"/>
  <c r="D26" i="10"/>
  <c r="C26" i="10"/>
  <c r="B26" i="10"/>
  <c r="I25" i="10"/>
  <c r="H25" i="10"/>
  <c r="G25" i="10"/>
  <c r="F25" i="10"/>
  <c r="E25" i="10"/>
  <c r="D25" i="10"/>
  <c r="C25" i="10"/>
  <c r="B25" i="10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J1" i="13"/>
  <c r="J1" i="12"/>
  <c r="J1" i="11"/>
  <c r="J1" i="10"/>
  <c r="J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B25A9D-B852-421A-A292-706A73F0BB10}" keepAlive="1" name="Query - Data Multis" description="Connection to the 'Data Multis' query in the workbook." type="5" refreshedVersion="8" background="1" saveData="1">
    <dbPr connection="Provider=Microsoft.Mashup.OleDb.1;Data Source=$Workbook$;Location=&quot;Data Multis&quot;;Extended Properties=&quot;&quot;" command="SELECT * FROM [Data Multis]"/>
  </connection>
  <connection id="2" xr16:uid="{E51760BD-3F90-4E71-9595-F3C916F2BE38}" keepAlive="1" name="Query - Data Patch" description="Connection to the 'Data Patch' query in the workbook." type="5" refreshedVersion="8" background="1" saveData="1">
    <dbPr connection="Provider=Microsoft.Mashup.OleDb.1;Data Source=$Workbook$;Location=&quot;Data Patch&quot;;Extended Properties=&quot;&quot;" command="SELECT * FROM [Data Patch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<sst xmlns="http://schemas.openxmlformats.org/spreadsheetml/2006/main" count="1160" uniqueCount="257">
  <si>
    <t>TYPE</t>
  </si>
  <si>
    <t>UNIVERSE</t>
  </si>
  <si>
    <t>SNEAK</t>
  </si>
  <si>
    <t>SINGLE</t>
  </si>
  <si>
    <t>NODE 40</t>
  </si>
  <si>
    <t>NODE1</t>
  </si>
  <si>
    <t>PORT1</t>
  </si>
  <si>
    <t>PORT2</t>
  </si>
  <si>
    <t>PORT3</t>
  </si>
  <si>
    <t>PORT4</t>
  </si>
  <si>
    <t>PORT5</t>
  </si>
  <si>
    <t>PORT6</t>
  </si>
  <si>
    <t>PORT7</t>
  </si>
  <si>
    <t>PORT8</t>
  </si>
  <si>
    <t>sACN</t>
  </si>
  <si>
    <t>IP 192.168.0.xxx</t>
  </si>
  <si>
    <t>CABLE</t>
  </si>
  <si>
    <t>NODE2</t>
  </si>
  <si>
    <t>NODE3</t>
  </si>
  <si>
    <t>NODE4</t>
  </si>
  <si>
    <t>NODE5</t>
  </si>
  <si>
    <t>Sneak Panel</t>
  </si>
  <si>
    <t>LABEL</t>
  </si>
  <si>
    <t>Line1</t>
  </si>
  <si>
    <t>Line2</t>
  </si>
  <si>
    <t>Line3</t>
  </si>
  <si>
    <t>Line4</t>
  </si>
  <si>
    <t>optiSPLIT</t>
  </si>
  <si>
    <t>NPU 40</t>
  </si>
  <si>
    <t>PATCH BAY COLOUR</t>
  </si>
  <si>
    <t>OPTI PATCH</t>
  </si>
  <si>
    <t>Outlet ID</t>
  </si>
  <si>
    <t>Universe</t>
  </si>
  <si>
    <t>Cable</t>
  </si>
  <si>
    <t>Type</t>
  </si>
  <si>
    <t>Multi ID</t>
  </si>
  <si>
    <t>Multi Name</t>
  </si>
  <si>
    <t>Line 1</t>
  </si>
  <si>
    <t>Line 2</t>
  </si>
  <si>
    <t>Line 3</t>
  </si>
  <si>
    <t>Line 4</t>
  </si>
  <si>
    <t>Color</t>
  </si>
  <si>
    <t>Outlets</t>
  </si>
  <si>
    <t>Outlet Count</t>
  </si>
  <si>
    <t>Gig Name:</t>
  </si>
  <si>
    <t>NODE 32</t>
  </si>
  <si>
    <t>NODE 24</t>
  </si>
  <si>
    <t>NODE 16</t>
  </si>
  <si>
    <t>Untitled Show</t>
  </si>
  <si>
    <t>name</t>
  </si>
  <si>
    <t>value</t>
  </si>
  <si>
    <t>comment</t>
  </si>
  <si>
    <t>cwd</t>
  </si>
  <si>
    <t>Unf*ckingbelievable that you have to do this just to get a relative path</t>
  </si>
  <si>
    <t>phase_reference_data.xlsx</t>
  </si>
  <si>
    <t>filename</t>
  </si>
  <si>
    <t>template_file_version</t>
  </si>
  <si>
    <t>Tracks if template files are being correctly updated in the assetBundle.</t>
  </si>
  <si>
    <t>Rack Number</t>
  </si>
  <si>
    <t>NODE1-PORT1</t>
  </si>
  <si>
    <t>DSB1</t>
  </si>
  <si>
    <t>Sneak</t>
  </si>
  <si>
    <t>red</t>
  </si>
  <si>
    <t>NODE1-PORT2</t>
  </si>
  <si>
    <t>DSB2</t>
  </si>
  <si>
    <t>NODE1-PORT3</t>
  </si>
  <si>
    <t/>
  </si>
  <si>
    <t>NODE1-PORT4</t>
  </si>
  <si>
    <t>NODE1-PORT5</t>
  </si>
  <si>
    <t>SLW1</t>
  </si>
  <si>
    <t>yellow</t>
  </si>
  <si>
    <t>NODE1-PORT6</t>
  </si>
  <si>
    <t>SLW2</t>
  </si>
  <si>
    <t>NODE1-PORT7</t>
  </si>
  <si>
    <t>NODE1-PORT8</t>
  </si>
  <si>
    <t>NODE1-PORT9</t>
  </si>
  <si>
    <t>DSS1</t>
  </si>
  <si>
    <t>Single</t>
  </si>
  <si>
    <t>NODE1-PORT10</t>
  </si>
  <si>
    <t>DSS2</t>
  </si>
  <si>
    <t>NODE1-PORT11</t>
  </si>
  <si>
    <t>NODE1-PORT12</t>
  </si>
  <si>
    <t>NODE1-PORT13</t>
  </si>
  <si>
    <t>MDS1</t>
  </si>
  <si>
    <t>white</t>
  </si>
  <si>
    <t>NODE1-PORT14</t>
  </si>
  <si>
    <t>MDS2</t>
  </si>
  <si>
    <t>NODE1-PORT15</t>
  </si>
  <si>
    <t>NODE1-PORT16</t>
  </si>
  <si>
    <t>NODE1-PORT17</t>
  </si>
  <si>
    <t>MUS1</t>
  </si>
  <si>
    <t>NODE1-PORT18</t>
  </si>
  <si>
    <t>MUS2</t>
  </si>
  <si>
    <t>NODE1-PORT19</t>
  </si>
  <si>
    <t>NODE1-PORT20</t>
  </si>
  <si>
    <t>NODE1-PORT21</t>
  </si>
  <si>
    <t>THR1</t>
  </si>
  <si>
    <t>grey</t>
  </si>
  <si>
    <t>NODE1-PORT22</t>
  </si>
  <si>
    <t>THR2</t>
  </si>
  <si>
    <t>NODE1-PORT23</t>
  </si>
  <si>
    <t>THR3</t>
  </si>
  <si>
    <t>NODE1-PORT24</t>
  </si>
  <si>
    <t>THR4</t>
  </si>
  <si>
    <t>NODE1-PORT25</t>
  </si>
  <si>
    <t>THR5</t>
  </si>
  <si>
    <t>NODE1-PORT26</t>
  </si>
  <si>
    <t>NODE1-PORT27</t>
  </si>
  <si>
    <t>NODE1-PORT28</t>
  </si>
  <si>
    <t>NODE1-PORT29</t>
  </si>
  <si>
    <t>DSL1</t>
  </si>
  <si>
    <t>NODE1-PORT30</t>
  </si>
  <si>
    <t>DSL2</t>
  </si>
  <si>
    <t>NODE1-PORT31</t>
  </si>
  <si>
    <t>NODE1-PORT32</t>
  </si>
  <si>
    <t>NODE1-PORT33</t>
  </si>
  <si>
    <t>SLWF1</t>
  </si>
  <si>
    <t>NODE1-PORT34</t>
  </si>
  <si>
    <t>NODE1-PORT35</t>
  </si>
  <si>
    <t>NODE1-PORT36</t>
  </si>
  <si>
    <t>NODE1-PORT37</t>
  </si>
  <si>
    <t>SRL1</t>
  </si>
  <si>
    <t>orange</t>
  </si>
  <si>
    <t>NODE1-PORT38</t>
  </si>
  <si>
    <t>SRL2</t>
  </si>
  <si>
    <t>NODE1-PORT39</t>
  </si>
  <si>
    <t>SRL3</t>
  </si>
  <si>
    <t>NODE1-PORT40</t>
  </si>
  <si>
    <t>SRL4</t>
  </si>
  <si>
    <t>NODE1-PORT41</t>
  </si>
  <si>
    <t>SLL1</t>
  </si>
  <si>
    <t>NODE1-PORT42</t>
  </si>
  <si>
    <t>SLL2</t>
  </si>
  <si>
    <t>NODE1-PORT43</t>
  </si>
  <si>
    <t>SLL3</t>
  </si>
  <si>
    <t>NODE1-PORT44</t>
  </si>
  <si>
    <t>SLL4</t>
  </si>
  <si>
    <t>NODE1-PORT45</t>
  </si>
  <si>
    <t>NODE1-PORT46</t>
  </si>
  <si>
    <t>NODE1-PORT47</t>
  </si>
  <si>
    <t>NODE1-PORT48</t>
  </si>
  <si>
    <t>NODE1-PORT49</t>
  </si>
  <si>
    <t>NODE1-PORT50</t>
  </si>
  <si>
    <t>NODE1-PORT51</t>
  </si>
  <si>
    <t>NODE1-PORT52</t>
  </si>
  <si>
    <t>NODE1-PORT53</t>
  </si>
  <si>
    <t>NODE1-PORT54</t>
  </si>
  <si>
    <t>NODE1-PORT55</t>
  </si>
  <si>
    <t>NODE1-PORT56</t>
  </si>
  <si>
    <t>NODE1-PORT57</t>
  </si>
  <si>
    <t>NODE1-PORT58</t>
  </si>
  <si>
    <t>NODE1-PORT59</t>
  </si>
  <si>
    <t>NODE1-PORT60</t>
  </si>
  <si>
    <t>NODE1-PORT61</t>
  </si>
  <si>
    <t>NODE1-PORT62</t>
  </si>
  <si>
    <t>NODE1-PORT63</t>
  </si>
  <si>
    <t>NODE1-PORT64</t>
  </si>
  <si>
    <t>NODE1-PORT65</t>
  </si>
  <si>
    <t>NODE1-PORT66</t>
  </si>
  <si>
    <t>NODE1-PORT67</t>
  </si>
  <si>
    <t>NODE1-PORT68</t>
  </si>
  <si>
    <t>NODE1-PORT69</t>
  </si>
  <si>
    <t>NODE1-PORT70</t>
  </si>
  <si>
    <t>NODE1-PORT71</t>
  </si>
  <si>
    <t>NODE1-PORT72</t>
  </si>
  <si>
    <t>NODE2-PORT1</t>
  </si>
  <si>
    <t>NODE2-PORT2</t>
  </si>
  <si>
    <t>NODE2-PORT3</t>
  </si>
  <si>
    <t>NODE2-PORT4</t>
  </si>
  <si>
    <t>NODE2-PORT5</t>
  </si>
  <si>
    <t>NODE2-PORT6</t>
  </si>
  <si>
    <t>NODE2-PORT7</t>
  </si>
  <si>
    <t>NODE2-PORT8</t>
  </si>
  <si>
    <t>NODE3-PORT1</t>
  </si>
  <si>
    <t>NODE3-PORT2</t>
  </si>
  <si>
    <t>NODE3-PORT3</t>
  </si>
  <si>
    <t>NODE3-PORT4</t>
  </si>
  <si>
    <t>NODE3-PORT5</t>
  </si>
  <si>
    <t>NODE3-PORT6</t>
  </si>
  <si>
    <t>NODE3-PORT7</t>
  </si>
  <si>
    <t>NODE3-PORT8</t>
  </si>
  <si>
    <t>NODE4-PORT1</t>
  </si>
  <si>
    <t>NODE4-PORT2</t>
  </si>
  <si>
    <t>NODE4-PORT3</t>
  </si>
  <si>
    <t>NODE4-PORT4</t>
  </si>
  <si>
    <t>NODE4-PORT5</t>
  </si>
  <si>
    <t>NODE4-PORT6</t>
  </si>
  <si>
    <t>NODE4-PORT7</t>
  </si>
  <si>
    <t>NODE4-PORT8</t>
  </si>
  <si>
    <t>NODE5-PORT1</t>
  </si>
  <si>
    <t>NODE5-PORT2</t>
  </si>
  <si>
    <t>NODE5-PORT3</t>
  </si>
  <si>
    <t>NODE5-PORT4</t>
  </si>
  <si>
    <t>NODE5-PORT5</t>
  </si>
  <si>
    <t>NODE5-PORT6</t>
  </si>
  <si>
    <t>NODE5-PORT7</t>
  </si>
  <si>
    <t>NODE5-PORT8</t>
  </si>
  <si>
    <t>NODE6-PORT1</t>
  </si>
  <si>
    <t>NODE6-PORT2</t>
  </si>
  <si>
    <t>NODE6-PORT3</t>
  </si>
  <si>
    <t>NODE6-PORT4</t>
  </si>
  <si>
    <t>NODE6-PORT5</t>
  </si>
  <si>
    <t>NODE6-PORT6</t>
  </si>
  <si>
    <t>NODE6-PORT7</t>
  </si>
  <si>
    <t>NODE6-PORT8</t>
  </si>
  <si>
    <t>NODE7-PORT1</t>
  </si>
  <si>
    <t>NODE7-PORT2</t>
  </si>
  <si>
    <t>NODE7-PORT3</t>
  </si>
  <si>
    <t>NODE7-PORT4</t>
  </si>
  <si>
    <t>NODE7-PORT5</t>
  </si>
  <si>
    <t>NODE7-PORT6</t>
  </si>
  <si>
    <t>NODE7-PORT7</t>
  </si>
  <si>
    <t>NODE7-PORT8</t>
  </si>
  <si>
    <t>NODE8-PORT1</t>
  </si>
  <si>
    <t>NODE8-PORT2</t>
  </si>
  <si>
    <t>NODE8-PORT3</t>
  </si>
  <si>
    <t>NODE8-PORT4</t>
  </si>
  <si>
    <t>NODE8-PORT5</t>
  </si>
  <si>
    <t>NODE8-PORT6</t>
  </si>
  <si>
    <t>NODE8-PORT7</t>
  </si>
  <si>
    <t>NODE8-PORT8</t>
  </si>
  <si>
    <t>NODE9-PORT1</t>
  </si>
  <si>
    <t>NODE9-PORT2</t>
  </si>
  <si>
    <t>NODE9-PORT3</t>
  </si>
  <si>
    <t>NODE9-PORT4</t>
  </si>
  <si>
    <t>NODE9-PORT5</t>
  </si>
  <si>
    <t>NODE9-PORT6</t>
  </si>
  <si>
    <t>NODE9-PORT7</t>
  </si>
  <si>
    <t>NODE9-PORT8</t>
  </si>
  <si>
    <t>NODE10-PORT1</t>
  </si>
  <si>
    <t>NODE10-PORT2</t>
  </si>
  <si>
    <t>NODE10-PORT3</t>
  </si>
  <si>
    <t>NODE10-PORT4</t>
  </si>
  <si>
    <t>NODE10-PORT5</t>
  </si>
  <si>
    <t>NODE10-PORT6</t>
  </si>
  <si>
    <t>NODE10-PORT7</t>
  </si>
  <si>
    <t>NODE10-PORT8</t>
  </si>
  <si>
    <t>DSB1 U1</t>
  </si>
  <si>
    <t>DSB2 U2</t>
  </si>
  <si>
    <t>SLW1 U12</t>
  </si>
  <si>
    <t>SLW2 U13</t>
  </si>
  <si>
    <t>THR1 U17</t>
  </si>
  <si>
    <t>THR2 U18</t>
  </si>
  <si>
    <t>THR3 U19</t>
  </si>
  <si>
    <t>THR4 U20</t>
  </si>
  <si>
    <t>THR5 U21</t>
  </si>
  <si>
    <t>DSL1 U22</t>
  </si>
  <si>
    <t>DSL2 U23</t>
  </si>
  <si>
    <t>SLWF1 U24</t>
  </si>
  <si>
    <t>SRL1 U25</t>
  </si>
  <si>
    <t>SRL2 U26</t>
  </si>
  <si>
    <t>SRL3 U27</t>
  </si>
  <si>
    <t>SRL4 U28</t>
  </si>
  <si>
    <t>SLL1 U29</t>
  </si>
  <si>
    <t>SLL2 U30</t>
  </si>
  <si>
    <t>SLL3 U31</t>
  </si>
  <si>
    <t>SLL4 U32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</si>
</sst>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quotePrefix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6" xfId="0" quotePrefix="1" applyBorder="1"/>
    <xf numFmtId="0" fontId="1" fillId="0" borderId="5" xfId="0" applyFont="1" applyBorder="1"/>
    <xf numFmtId="0" fontId="6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250">
    <dxf>
      <font>
        <b/>
        <i val="0"/>
      </font>
      <fill>
        <patternFill>
          <bgColor rgb="FFFFC000"/>
        </patternFill>
      </fill>
    </dxf>
    <dxf>
      <font>
        <b val="0"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C000"/>
        </patternFill>
      </fill>
    </dxf>
    <dxf>
      <font>
        <b val="0"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C000"/>
        </patternFill>
      </fill>
    </dxf>
    <dxf>
      <font>
        <b val="0"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C000"/>
        </patternFill>
      </fill>
    </dxf>
    <dxf>
      <font>
        <b val="0"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 val="0"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C000"/>
        </patternFill>
      </fill>
    </dxf>
    <dxf>
      <font>
        <b val="0"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2/10/relationships/richValueRel" Target="richData/richValueRel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8A5713-6FAE-42A7-8838-9388FFDC382C}" autoFormatId="16" applyNumberFormats="0" applyBorderFormats="0" applyFontFormats="0" applyPatternFormats="0" applyAlignmentFormats="0" applyWidthHeightFormats="0">
  <queryTableRefresh nextId="10">
    <queryTableFields count="8">
      <queryTableField id="8" name="Rack Number" tableColumnId="8"/>
      <queryTableField id="1" name="Multi ID" tableColumnId="1"/>
      <queryTableField id="2" name="Multi Name" tableColumnId="2"/>
      <queryTableField id="3" name="Line 1" tableColumnId="3"/>
      <queryTableField id="4" name="Line 2" tableColumnId="4"/>
      <queryTableField id="5" name="Line 3" tableColumnId="5"/>
      <queryTableField id="6" name="Line 4" tableColumnId="6"/>
      <queryTableField id="7" name="Color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E5E029A-9B98-47F2-B75D-A319370EDB7D}" autoFormatId="16" applyNumberFormats="0" applyBorderFormats="0" applyFontFormats="0" applyPatternFormats="0" applyAlignmentFormats="0" applyWidthHeightFormats="0">
  <queryTableRefresh nextId="8">
    <queryTableFields count="6">
      <queryTableField id="6" name="Rack Number" tableColumnId="6"/>
      <queryTableField id="1" name="Outlet ID" tableColumnId="1"/>
      <queryTableField id="2" name="Universe" tableColumnId="2"/>
      <queryTableField id="3" name="Cable" tableColumnId="3"/>
      <queryTableField id="4" name="Type" tableColumnId="4"/>
      <queryTableField id="5" name="Color" tableColumnId="5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51B278-5D03-4148-848B-252595CFDFA8}" name="Parameters" displayName="Parameters" ref="A1:C12" totalsRowShown="0" headerRowDxfId="249">
  <autoFilter ref="A1:C12" xr:uid="{A651B278-5D03-4148-848B-252595CFDFA8}"/>
  <tableColumns count="3">
    <tableColumn id="1" xr3:uid="{188D5E89-7B7E-4066-B36D-B544E89FDB50}" name="name"/>
    <tableColumn id="2" xr3:uid="{863B73AD-84B7-4239-AA00-CF91684DFF68}" name="value"/>
    <tableColumn id="3" xr3:uid="{59E59F29-4CE2-4B5D-AF74-CCE46CEB531E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E61CB6-816C-4B78-A260-841F4F65605D}" name="Data_Multis" displayName="Data_Multis" ref="M1:T9" tableType="queryTable" totalsRowShown="0">
  <autoFilter ref="M1:T9" xr:uid="{D2E61CB6-816C-4B78-A260-841F4F65605D}"/>
  <tableColumns count="8">
    <tableColumn id="8" xr3:uid="{09FC09DB-0CF0-48F4-90ED-EBC3E362B836}" uniqueName="8" name="Rack Number" queryTableFieldId="8"/>
    <tableColumn id="1" xr3:uid="{A3B66156-EC95-4C83-8C0C-D5ECDC7D23CD}" uniqueName="1" name="Multi ID" queryTableFieldId="1"/>
    <tableColumn id="2" xr3:uid="{85DB126F-56EB-46CF-8132-A09E70D9579B}" uniqueName="2" name="Multi Name" queryTableFieldId="2" dataDxfId="248"/>
    <tableColumn id="3" xr3:uid="{865A2BBB-3B5F-42C2-8F8B-405D57B5D09D}" uniqueName="3" name="Line 1" queryTableFieldId="3" dataDxfId="247"/>
    <tableColumn id="4" xr3:uid="{D0073F95-24AA-4F1A-B71B-4FB9706CFE3E}" uniqueName="4" name="Line 2" queryTableFieldId="4" dataDxfId="246"/>
    <tableColumn id="5" xr3:uid="{44011BC3-1A9A-4578-8439-658924F84296}" uniqueName="5" name="Line 3" queryTableFieldId="5" dataDxfId="245"/>
    <tableColumn id="6" xr3:uid="{4697FB53-ECFF-438E-BB66-E825C7003DBE}" uniqueName="6" name="Line 4" queryTableFieldId="6" dataDxfId="244"/>
    <tableColumn id="7" xr3:uid="{5C941FB5-E6C2-4C25-851C-D4F08CAFDA86}" uniqueName="7" name="Color" queryTableFieldId="7" dataDxfId="24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792CAB-26E7-495C-BA4F-FEF99DB49C8D}" name="Data_Patch" displayName="Data_Patch" ref="A1:F145" tableType="queryTable" totalsRowShown="0">
  <autoFilter ref="A1:F145" xr:uid="{68792CAB-26E7-495C-BA4F-FEF99DB49C8D}"/>
  <tableColumns count="6">
    <tableColumn id="6" xr3:uid="{E2EA89E8-6B9C-49E6-9B4D-C835F4C51973}" uniqueName="6" name="Rack Number" queryTableFieldId="6"/>
    <tableColumn id="1" xr3:uid="{061A6D14-0103-444F-B1D7-D09CFBC8106C}" uniqueName="1" name="Outlet ID" queryTableFieldId="1" dataDxfId="242"/>
    <tableColumn id="2" xr3:uid="{AA7FA68F-BDB5-415B-AC2D-35244EA83877}" uniqueName="2" name="Universe" queryTableFieldId="2"/>
    <tableColumn id="3" xr3:uid="{F2E11DD8-B9B8-4CE9-AD7C-4736B13AB240}" uniqueName="3" name="Cable" queryTableFieldId="3" dataDxfId="241"/>
    <tableColumn id="4" xr3:uid="{F78C783B-2BF4-4D60-8D77-BDB3F6364B51}" uniqueName="4" name="Type" queryTableFieldId="4" dataDxfId="240"/>
    <tableColumn id="5" xr3:uid="{E4BC0C7C-E02F-42AD-8F7D-6A0376CEF020}" uniqueName="5" name="Color" queryTableFieldId="5" dataDxfId="2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7"/>
  <sheetViews>
    <sheetView workbookViewId="0">
      <selection activeCell="C40" sqref="C40"/>
    </sheetView>
  </sheetViews>
  <sheetFormatPr defaultRowHeight="14.4"/>
  <cols>
    <col min="1" max="1" width="11.44140625" bestFit="1" customWidth="1"/>
    <col min="6" max="6" width="18.33203125" customWidth="1"/>
    <col min="7" max="7" width="26" customWidth="1"/>
  </cols>
  <sheetData>
    <row r="1" spans="1:7" ht="15" thickBot="1">
      <c r="A1" t="s">
        <v>0</v>
      </c>
      <c r="B1" t="s">
        <v>1</v>
      </c>
    </row>
    <row r="2" spans="1:7" ht="15" thickBot="1">
      <c r="B2">
        <v>1</v>
      </c>
      <c r="F2" s="23" t="s">
        <v>44</v>
      </c>
      <c r="G2" s="22" t="s">
        <v>48</v>
      </c>
    </row>
    <row r="3" spans="1:7">
      <c r="A3" t="s">
        <v>2</v>
      </c>
      <c r="B3">
        <v>2</v>
      </c>
      <c r="G3" s="16"/>
    </row>
    <row r="4" spans="1:7">
      <c r="A4" t="s">
        <v>3</v>
      </c>
      <c r="B4">
        <v>3</v>
      </c>
    </row>
    <row r="5" spans="1:7">
      <c r="A5" t="s">
        <v>30</v>
      </c>
      <c r="B5">
        <v>4</v>
      </c>
    </row>
    <row r="6" spans="1:7">
      <c r="B6">
        <v>5</v>
      </c>
    </row>
    <row r="7" spans="1:7">
      <c r="B7">
        <v>6</v>
      </c>
    </row>
    <row r="8" spans="1:7">
      <c r="B8">
        <v>7</v>
      </c>
    </row>
    <row r="9" spans="1:7">
      <c r="B9">
        <v>8</v>
      </c>
    </row>
    <row r="10" spans="1:7">
      <c r="B10">
        <v>9</v>
      </c>
    </row>
    <row r="11" spans="1:7">
      <c r="B11">
        <v>10</v>
      </c>
    </row>
    <row r="12" spans="1:7">
      <c r="B12">
        <v>11</v>
      </c>
    </row>
    <row r="13" spans="1:7">
      <c r="B13">
        <v>12</v>
      </c>
    </row>
    <row r="14" spans="1:7">
      <c r="B14">
        <v>13</v>
      </c>
    </row>
    <row r="15" spans="1:7">
      <c r="B15">
        <v>14</v>
      </c>
    </row>
    <row r="16" spans="1:7">
      <c r="B16">
        <v>15</v>
      </c>
    </row>
    <row r="17" spans="2:2">
      <c r="B17">
        <v>16</v>
      </c>
    </row>
    <row r="18" spans="2:2">
      <c r="B18">
        <v>17</v>
      </c>
    </row>
    <row r="19" spans="2:2">
      <c r="B19">
        <v>18</v>
      </c>
    </row>
    <row r="20" spans="2:2">
      <c r="B20">
        <v>19</v>
      </c>
    </row>
    <row r="21" spans="2:2">
      <c r="B21">
        <v>20</v>
      </c>
    </row>
    <row r="22" spans="2:2">
      <c r="B22">
        <v>21</v>
      </c>
    </row>
    <row r="23" spans="2:2">
      <c r="B23">
        <v>22</v>
      </c>
    </row>
    <row r="24" spans="2:2">
      <c r="B24">
        <v>23</v>
      </c>
    </row>
    <row r="25" spans="2:2">
      <c r="B25">
        <v>24</v>
      </c>
    </row>
    <row r="26" spans="2:2">
      <c r="B26">
        <v>25</v>
      </c>
    </row>
    <row r="27" spans="2:2">
      <c r="B27">
        <v>26</v>
      </c>
    </row>
    <row r="28" spans="2:2">
      <c r="B28">
        <v>27</v>
      </c>
    </row>
    <row r="29" spans="2:2">
      <c r="B29">
        <v>28</v>
      </c>
    </row>
    <row r="30" spans="2:2">
      <c r="B30">
        <v>29</v>
      </c>
    </row>
    <row r="31" spans="2:2">
      <c r="B31">
        <v>30</v>
      </c>
    </row>
    <row r="32" spans="2:2">
      <c r="B32">
        <v>31</v>
      </c>
    </row>
    <row r="33" spans="2:2">
      <c r="B33">
        <v>32</v>
      </c>
    </row>
    <row r="34" spans="2:2">
      <c r="B34">
        <v>33</v>
      </c>
    </row>
    <row r="35" spans="2:2">
      <c r="B35">
        <v>34</v>
      </c>
    </row>
    <row r="36" spans="2:2">
      <c r="B36">
        <v>35</v>
      </c>
    </row>
    <row r="37" spans="2:2">
      <c r="B37">
        <v>36</v>
      </c>
    </row>
    <row r="38" spans="2:2">
      <c r="B38">
        <v>37</v>
      </c>
    </row>
    <row r="39" spans="2:2">
      <c r="B39">
        <v>38</v>
      </c>
    </row>
    <row r="40" spans="2:2">
      <c r="B40">
        <v>39</v>
      </c>
    </row>
    <row r="41" spans="2:2">
      <c r="B41">
        <v>40</v>
      </c>
    </row>
    <row r="42" spans="2:2">
      <c r="B42">
        <v>41</v>
      </c>
    </row>
    <row r="43" spans="2:2">
      <c r="B43">
        <v>42</v>
      </c>
    </row>
    <row r="44" spans="2:2">
      <c r="B44">
        <v>43</v>
      </c>
    </row>
    <row r="45" spans="2:2">
      <c r="B45">
        <v>44</v>
      </c>
    </row>
    <row r="46" spans="2:2">
      <c r="B46">
        <v>45</v>
      </c>
    </row>
    <row r="47" spans="2:2">
      <c r="B47">
        <v>46</v>
      </c>
    </row>
    <row r="48" spans="2:2">
      <c r="B48">
        <v>47</v>
      </c>
    </row>
    <row r="49" spans="2:2">
      <c r="B49">
        <v>48</v>
      </c>
    </row>
    <row r="50" spans="2:2">
      <c r="B50">
        <v>49</v>
      </c>
    </row>
    <row r="51" spans="2:2">
      <c r="B51">
        <v>50</v>
      </c>
    </row>
    <row r="52" spans="2:2">
      <c r="B52">
        <v>51</v>
      </c>
    </row>
    <row r="53" spans="2:2">
      <c r="B53">
        <v>52</v>
      </c>
    </row>
    <row r="54" spans="2:2">
      <c r="B54">
        <v>53</v>
      </c>
    </row>
    <row r="55" spans="2:2">
      <c r="B55">
        <v>54</v>
      </c>
    </row>
    <row r="56" spans="2:2">
      <c r="B56">
        <v>55</v>
      </c>
    </row>
    <row r="57" spans="2:2">
      <c r="B57">
        <v>56</v>
      </c>
    </row>
    <row r="58" spans="2:2">
      <c r="B58">
        <v>57</v>
      </c>
    </row>
    <row r="59" spans="2:2">
      <c r="B59">
        <v>58</v>
      </c>
    </row>
    <row r="60" spans="2:2">
      <c r="B60">
        <v>59</v>
      </c>
    </row>
    <row r="61" spans="2:2">
      <c r="B61">
        <v>60</v>
      </c>
    </row>
    <row r="62" spans="2:2">
      <c r="B62">
        <v>61</v>
      </c>
    </row>
    <row r="63" spans="2:2">
      <c r="B63">
        <v>62</v>
      </c>
    </row>
    <row r="64" spans="2:2">
      <c r="B64">
        <v>63</v>
      </c>
    </row>
    <row r="65" spans="2:2">
      <c r="B65">
        <v>64</v>
      </c>
    </row>
    <row r="66" spans="2:2">
      <c r="B66">
        <v>65</v>
      </c>
    </row>
    <row r="67" spans="2:2">
      <c r="B67">
        <v>66</v>
      </c>
    </row>
    <row r="68" spans="2:2">
      <c r="B68">
        <v>67</v>
      </c>
    </row>
    <row r="69" spans="2:2">
      <c r="B69">
        <v>68</v>
      </c>
    </row>
    <row r="70" spans="2:2">
      <c r="B70">
        <v>69</v>
      </c>
    </row>
    <row r="71" spans="2:2">
      <c r="B71">
        <v>70</v>
      </c>
    </row>
    <row r="72" spans="2:2">
      <c r="B72">
        <v>71</v>
      </c>
    </row>
    <row r="73" spans="2:2">
      <c r="B73">
        <v>72</v>
      </c>
    </row>
    <row r="74" spans="2:2">
      <c r="B74">
        <v>73</v>
      </c>
    </row>
    <row r="75" spans="2:2">
      <c r="B75">
        <v>74</v>
      </c>
    </row>
    <row r="76" spans="2:2">
      <c r="B76">
        <v>75</v>
      </c>
    </row>
    <row r="77" spans="2:2">
      <c r="B77">
        <v>76</v>
      </c>
    </row>
    <row r="78" spans="2:2">
      <c r="B78">
        <v>77</v>
      </c>
    </row>
    <row r="79" spans="2:2">
      <c r="B79">
        <v>78</v>
      </c>
    </row>
    <row r="80" spans="2:2">
      <c r="B80">
        <v>79</v>
      </c>
    </row>
    <row r="81" spans="2:2">
      <c r="B81">
        <v>80</v>
      </c>
    </row>
    <row r="82" spans="2:2">
      <c r="B82">
        <v>81</v>
      </c>
    </row>
    <row r="83" spans="2:2">
      <c r="B83">
        <v>82</v>
      </c>
    </row>
    <row r="84" spans="2:2">
      <c r="B84">
        <v>83</v>
      </c>
    </row>
    <row r="85" spans="2:2">
      <c r="B85">
        <v>84</v>
      </c>
    </row>
    <row r="86" spans="2:2">
      <c r="B86">
        <v>85</v>
      </c>
    </row>
    <row r="87" spans="2:2">
      <c r="B87">
        <v>86</v>
      </c>
    </row>
    <row r="88" spans="2:2">
      <c r="B88">
        <v>87</v>
      </c>
    </row>
    <row r="89" spans="2:2">
      <c r="B89">
        <v>88</v>
      </c>
    </row>
    <row r="90" spans="2:2">
      <c r="B90">
        <v>89</v>
      </c>
    </row>
    <row r="91" spans="2:2">
      <c r="B91">
        <v>90</v>
      </c>
    </row>
    <row r="92" spans="2:2">
      <c r="B92">
        <v>91</v>
      </c>
    </row>
    <row r="93" spans="2:2">
      <c r="B93">
        <v>92</v>
      </c>
    </row>
    <row r="94" spans="2:2">
      <c r="B94">
        <v>93</v>
      </c>
    </row>
    <row r="95" spans="2:2">
      <c r="B95">
        <v>94</v>
      </c>
    </row>
    <row r="96" spans="2:2">
      <c r="B96">
        <v>95</v>
      </c>
    </row>
    <row r="97" spans="2:2">
      <c r="B97">
        <v>96</v>
      </c>
    </row>
    <row r="98" spans="2:2">
      <c r="B98">
        <v>97</v>
      </c>
    </row>
    <row r="99" spans="2:2">
      <c r="B99">
        <v>98</v>
      </c>
    </row>
    <row r="100" spans="2:2">
      <c r="B100">
        <v>99</v>
      </c>
    </row>
    <row r="101" spans="2:2">
      <c r="B101">
        <v>100</v>
      </c>
    </row>
    <row r="102" spans="2:2">
      <c r="B102">
        <v>101</v>
      </c>
    </row>
    <row r="103" spans="2:2">
      <c r="B103">
        <v>102</v>
      </c>
    </row>
    <row r="104" spans="2:2">
      <c r="B104">
        <v>103</v>
      </c>
    </row>
    <row r="105" spans="2:2">
      <c r="B105">
        <v>104</v>
      </c>
    </row>
    <row r="106" spans="2:2">
      <c r="B106">
        <v>105</v>
      </c>
    </row>
    <row r="107" spans="2:2">
      <c r="B107">
        <v>106</v>
      </c>
    </row>
    <row r="108" spans="2:2">
      <c r="B108">
        <v>107</v>
      </c>
    </row>
    <row r="109" spans="2:2">
      <c r="B109">
        <v>108</v>
      </c>
    </row>
    <row r="110" spans="2:2">
      <c r="B110">
        <v>109</v>
      </c>
    </row>
    <row r="111" spans="2:2">
      <c r="B111">
        <v>110</v>
      </c>
    </row>
    <row r="112" spans="2:2">
      <c r="B112">
        <v>111</v>
      </c>
    </row>
    <row r="113" spans="2:2">
      <c r="B113">
        <v>112</v>
      </c>
    </row>
    <row r="114" spans="2:2">
      <c r="B114">
        <v>113</v>
      </c>
    </row>
    <row r="115" spans="2:2">
      <c r="B115">
        <v>114</v>
      </c>
    </row>
    <row r="116" spans="2:2">
      <c r="B116">
        <v>115</v>
      </c>
    </row>
    <row r="117" spans="2:2">
      <c r="B117">
        <v>116</v>
      </c>
    </row>
    <row r="118" spans="2:2">
      <c r="B118">
        <v>117</v>
      </c>
    </row>
    <row r="119" spans="2:2">
      <c r="B119">
        <v>118</v>
      </c>
    </row>
    <row r="120" spans="2:2">
      <c r="B120">
        <v>119</v>
      </c>
    </row>
    <row r="121" spans="2:2">
      <c r="B121">
        <v>120</v>
      </c>
    </row>
    <row r="122" spans="2:2">
      <c r="B122">
        <v>121</v>
      </c>
    </row>
    <row r="123" spans="2:2">
      <c r="B123">
        <v>122</v>
      </c>
    </row>
    <row r="124" spans="2:2">
      <c r="B124">
        <v>123</v>
      </c>
    </row>
    <row r="125" spans="2:2">
      <c r="B125">
        <v>124</v>
      </c>
    </row>
    <row r="126" spans="2:2">
      <c r="B126">
        <v>125</v>
      </c>
    </row>
    <row r="127" spans="2:2">
      <c r="B127">
        <v>126</v>
      </c>
    </row>
    <row r="128" spans="2:2">
      <c r="B128">
        <v>127</v>
      </c>
    </row>
    <row r="129" spans="2:2">
      <c r="B129">
        <v>128</v>
      </c>
    </row>
    <row r="130" spans="2:2">
      <c r="B130">
        <v>129</v>
      </c>
    </row>
    <row r="131" spans="2:2">
      <c r="B131">
        <v>130</v>
      </c>
    </row>
    <row r="132" spans="2:2">
      <c r="B132">
        <v>131</v>
      </c>
    </row>
    <row r="133" spans="2:2">
      <c r="B133">
        <v>132</v>
      </c>
    </row>
    <row r="134" spans="2:2">
      <c r="B134">
        <v>133</v>
      </c>
    </row>
    <row r="135" spans="2:2">
      <c r="B135">
        <v>134</v>
      </c>
    </row>
    <row r="136" spans="2:2">
      <c r="B136">
        <v>135</v>
      </c>
    </row>
    <row r="137" spans="2:2">
      <c r="B137">
        <v>136</v>
      </c>
    </row>
    <row r="138" spans="2:2">
      <c r="B138">
        <v>137</v>
      </c>
    </row>
    <row r="139" spans="2:2">
      <c r="B139">
        <v>138</v>
      </c>
    </row>
    <row r="140" spans="2:2">
      <c r="B140">
        <v>139</v>
      </c>
    </row>
    <row r="141" spans="2:2">
      <c r="B141">
        <v>140</v>
      </c>
    </row>
    <row r="142" spans="2:2">
      <c r="B142">
        <v>141</v>
      </c>
    </row>
    <row r="143" spans="2:2">
      <c r="B143">
        <v>142</v>
      </c>
    </row>
    <row r="144" spans="2:2">
      <c r="B144">
        <v>143</v>
      </c>
    </row>
    <row r="145" spans="2:2">
      <c r="B145">
        <v>144</v>
      </c>
    </row>
    <row r="146" spans="2:2">
      <c r="B146">
        <v>145</v>
      </c>
    </row>
    <row r="147" spans="2:2">
      <c r="B147">
        <v>146</v>
      </c>
    </row>
    <row r="148" spans="2:2">
      <c r="B148">
        <v>147</v>
      </c>
    </row>
    <row r="149" spans="2:2">
      <c r="B149">
        <v>148</v>
      </c>
    </row>
    <row r="150" spans="2:2">
      <c r="B150">
        <v>149</v>
      </c>
    </row>
    <row r="151" spans="2:2">
      <c r="B151">
        <v>150</v>
      </c>
    </row>
    <row r="152" spans="2:2">
      <c r="B152">
        <v>151</v>
      </c>
    </row>
    <row r="153" spans="2:2">
      <c r="B153">
        <v>152</v>
      </c>
    </row>
    <row r="154" spans="2:2">
      <c r="B154">
        <v>153</v>
      </c>
    </row>
    <row r="155" spans="2:2">
      <c r="B155">
        <v>154</v>
      </c>
    </row>
    <row r="156" spans="2:2">
      <c r="B156">
        <v>155</v>
      </c>
    </row>
    <row r="157" spans="2:2">
      <c r="B157">
        <v>156</v>
      </c>
    </row>
    <row r="158" spans="2:2">
      <c r="B158">
        <v>157</v>
      </c>
    </row>
    <row r="159" spans="2:2">
      <c r="B159">
        <v>158</v>
      </c>
    </row>
    <row r="160" spans="2:2">
      <c r="B160">
        <v>159</v>
      </c>
    </row>
    <row r="161" spans="2:2">
      <c r="B161">
        <v>160</v>
      </c>
    </row>
    <row r="162" spans="2:2">
      <c r="B162">
        <v>161</v>
      </c>
    </row>
    <row r="163" spans="2:2">
      <c r="B163">
        <v>162</v>
      </c>
    </row>
    <row r="164" spans="2:2">
      <c r="B164">
        <v>163</v>
      </c>
    </row>
    <row r="165" spans="2:2">
      <c r="B165">
        <v>164</v>
      </c>
    </row>
    <row r="166" spans="2:2">
      <c r="B166">
        <v>165</v>
      </c>
    </row>
    <row r="167" spans="2:2">
      <c r="B167">
        <v>166</v>
      </c>
    </row>
    <row r="168" spans="2:2">
      <c r="B168">
        <v>167</v>
      </c>
    </row>
    <row r="169" spans="2:2">
      <c r="B169">
        <v>168</v>
      </c>
    </row>
    <row r="170" spans="2:2">
      <c r="B170">
        <v>169</v>
      </c>
    </row>
    <row r="171" spans="2:2">
      <c r="B171">
        <v>170</v>
      </c>
    </row>
    <row r="172" spans="2:2">
      <c r="B172">
        <v>171</v>
      </c>
    </row>
    <row r="173" spans="2:2">
      <c r="B173">
        <v>172</v>
      </c>
    </row>
    <row r="174" spans="2:2">
      <c r="B174">
        <v>173</v>
      </c>
    </row>
    <row r="175" spans="2:2">
      <c r="B175">
        <v>174</v>
      </c>
    </row>
    <row r="176" spans="2:2">
      <c r="B176">
        <v>175</v>
      </c>
    </row>
    <row r="177" spans="2:2">
      <c r="B177">
        <v>176</v>
      </c>
    </row>
    <row r="178" spans="2:2">
      <c r="B178">
        <v>177</v>
      </c>
    </row>
    <row r="179" spans="2:2">
      <c r="B179">
        <v>178</v>
      </c>
    </row>
    <row r="180" spans="2:2">
      <c r="B180">
        <v>179</v>
      </c>
    </row>
    <row r="181" spans="2:2">
      <c r="B181">
        <v>180</v>
      </c>
    </row>
    <row r="182" spans="2:2">
      <c r="B182">
        <v>181</v>
      </c>
    </row>
    <row r="183" spans="2:2">
      <c r="B183">
        <v>182</v>
      </c>
    </row>
    <row r="184" spans="2:2">
      <c r="B184">
        <v>183</v>
      </c>
    </row>
    <row r="185" spans="2:2">
      <c r="B185">
        <v>184</v>
      </c>
    </row>
    <row r="186" spans="2:2">
      <c r="B186">
        <v>185</v>
      </c>
    </row>
    <row r="187" spans="2:2">
      <c r="B187">
        <v>186</v>
      </c>
    </row>
    <row r="188" spans="2:2">
      <c r="B188">
        <v>187</v>
      </c>
    </row>
    <row r="189" spans="2:2">
      <c r="B189">
        <v>188</v>
      </c>
    </row>
    <row r="190" spans="2:2">
      <c r="B190">
        <v>189</v>
      </c>
    </row>
    <row r="191" spans="2:2">
      <c r="B191">
        <v>190</v>
      </c>
    </row>
    <row r="192" spans="2:2">
      <c r="B192">
        <v>191</v>
      </c>
    </row>
    <row r="193" spans="2:2">
      <c r="B193">
        <v>192</v>
      </c>
    </row>
    <row r="194" spans="2:2">
      <c r="B194">
        <v>193</v>
      </c>
    </row>
    <row r="195" spans="2:2">
      <c r="B195">
        <v>194</v>
      </c>
    </row>
    <row r="196" spans="2:2">
      <c r="B196">
        <v>195</v>
      </c>
    </row>
    <row r="197" spans="2:2">
      <c r="B197">
        <v>196</v>
      </c>
    </row>
    <row r="198" spans="2:2">
      <c r="B198">
        <v>197</v>
      </c>
    </row>
    <row r="199" spans="2:2">
      <c r="B199">
        <v>198</v>
      </c>
    </row>
    <row r="200" spans="2:2">
      <c r="B200">
        <v>199</v>
      </c>
    </row>
    <row r="201" spans="2:2">
      <c r="B201">
        <v>200</v>
      </c>
    </row>
    <row r="202" spans="2:2">
      <c r="B202">
        <v>201</v>
      </c>
    </row>
    <row r="203" spans="2:2">
      <c r="B203">
        <v>202</v>
      </c>
    </row>
    <row r="204" spans="2:2">
      <c r="B204">
        <v>203</v>
      </c>
    </row>
    <row r="205" spans="2:2">
      <c r="B205">
        <v>204</v>
      </c>
    </row>
    <row r="206" spans="2:2">
      <c r="B206">
        <v>205</v>
      </c>
    </row>
    <row r="207" spans="2:2">
      <c r="B207">
        <v>206</v>
      </c>
    </row>
    <row r="208" spans="2:2">
      <c r="B208">
        <v>207</v>
      </c>
    </row>
    <row r="209" spans="2:2">
      <c r="B209">
        <v>208</v>
      </c>
    </row>
    <row r="210" spans="2:2">
      <c r="B210">
        <v>209</v>
      </c>
    </row>
    <row r="211" spans="2:2">
      <c r="B211">
        <v>210</v>
      </c>
    </row>
    <row r="212" spans="2:2">
      <c r="B212">
        <v>211</v>
      </c>
    </row>
    <row r="213" spans="2:2">
      <c r="B213">
        <v>212</v>
      </c>
    </row>
    <row r="214" spans="2:2">
      <c r="B214">
        <v>213</v>
      </c>
    </row>
    <row r="215" spans="2:2">
      <c r="B215">
        <v>214</v>
      </c>
    </row>
    <row r="216" spans="2:2">
      <c r="B216">
        <v>215</v>
      </c>
    </row>
    <row r="217" spans="2:2">
      <c r="B217">
        <v>216</v>
      </c>
    </row>
    <row r="218" spans="2:2">
      <c r="B218">
        <v>217</v>
      </c>
    </row>
    <row r="219" spans="2:2">
      <c r="B219">
        <v>218</v>
      </c>
    </row>
    <row r="220" spans="2:2">
      <c r="B220">
        <v>219</v>
      </c>
    </row>
    <row r="221" spans="2:2">
      <c r="B221">
        <v>220</v>
      </c>
    </row>
    <row r="222" spans="2:2">
      <c r="B222">
        <v>221</v>
      </c>
    </row>
    <row r="223" spans="2:2">
      <c r="B223">
        <v>222</v>
      </c>
    </row>
    <row r="224" spans="2:2">
      <c r="B224">
        <v>223</v>
      </c>
    </row>
    <row r="225" spans="2:2">
      <c r="B225">
        <v>224</v>
      </c>
    </row>
    <row r="226" spans="2:2">
      <c r="B226">
        <v>225</v>
      </c>
    </row>
    <row r="227" spans="2:2">
      <c r="B227">
        <v>226</v>
      </c>
    </row>
    <row r="228" spans="2:2">
      <c r="B228">
        <v>227</v>
      </c>
    </row>
    <row r="229" spans="2:2">
      <c r="B229">
        <v>228</v>
      </c>
    </row>
    <row r="230" spans="2:2">
      <c r="B230">
        <v>229</v>
      </c>
    </row>
    <row r="231" spans="2:2">
      <c r="B231">
        <v>230</v>
      </c>
    </row>
    <row r="232" spans="2:2">
      <c r="B232">
        <v>231</v>
      </c>
    </row>
    <row r="233" spans="2:2">
      <c r="B233">
        <v>232</v>
      </c>
    </row>
    <row r="234" spans="2:2">
      <c r="B234">
        <v>233</v>
      </c>
    </row>
    <row r="235" spans="2:2">
      <c r="B235">
        <v>234</v>
      </c>
    </row>
    <row r="236" spans="2:2">
      <c r="B236">
        <v>235</v>
      </c>
    </row>
    <row r="237" spans="2:2">
      <c r="B237">
        <v>236</v>
      </c>
    </row>
    <row r="238" spans="2:2">
      <c r="B238">
        <v>237</v>
      </c>
    </row>
    <row r="239" spans="2:2">
      <c r="B239">
        <v>238</v>
      </c>
    </row>
    <row r="240" spans="2:2">
      <c r="B240">
        <v>239</v>
      </c>
    </row>
    <row r="241" spans="2:2">
      <c r="B241">
        <v>240</v>
      </c>
    </row>
    <row r="242" spans="2:2">
      <c r="B242">
        <v>241</v>
      </c>
    </row>
    <row r="243" spans="2:2">
      <c r="B243">
        <v>242</v>
      </c>
    </row>
    <row r="244" spans="2:2">
      <c r="B244">
        <v>243</v>
      </c>
    </row>
    <row r="245" spans="2:2">
      <c r="B245">
        <v>244</v>
      </c>
    </row>
    <row r="246" spans="2:2">
      <c r="B246">
        <v>245</v>
      </c>
    </row>
    <row r="247" spans="2:2">
      <c r="B247">
        <v>246</v>
      </c>
    </row>
    <row r="248" spans="2:2">
      <c r="B248">
        <v>247</v>
      </c>
    </row>
    <row r="249" spans="2:2">
      <c r="B249">
        <v>248</v>
      </c>
    </row>
    <row r="250" spans="2:2">
      <c r="B250">
        <v>249</v>
      </c>
    </row>
    <row r="251" spans="2:2">
      <c r="B251">
        <v>250</v>
      </c>
    </row>
    <row r="252" spans="2:2">
      <c r="B252">
        <v>251</v>
      </c>
    </row>
    <row r="253" spans="2:2">
      <c r="B253">
        <v>252</v>
      </c>
    </row>
    <row r="254" spans="2:2">
      <c r="B254">
        <v>253</v>
      </c>
    </row>
    <row r="255" spans="2:2">
      <c r="B255">
        <v>254</v>
      </c>
    </row>
    <row r="256" spans="2:2">
      <c r="B256">
        <v>255</v>
      </c>
    </row>
    <row r="257" spans="2:2">
      <c r="B257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50"/>
  <sheetViews>
    <sheetView tabSelected="1" zoomScaleNormal="100" workbookViewId="0">
      <selection activeCell="E50" sqref="E9:E50"/>
    </sheetView>
  </sheetViews>
  <sheetFormatPr defaultColWidth="9.109375" defaultRowHeight="14.4"/>
  <cols>
    <col min="1" max="1" width="18.77734375" style="1" customWidth="1"/>
    <col min="2" max="12" width="12.6640625" style="1" customWidth="1"/>
    <col min="13" max="13" width="13.6640625" style="1" customWidth="1"/>
    <col min="14" max="16" width="12.6640625" style="1" customWidth="1"/>
    <col min="17" max="17" width="21.6640625" style="1" customWidth="1"/>
    <col min="18" max="16384" width="9.109375" style="1"/>
  </cols>
  <sheetData>
    <row r="1" spans="1:17" ht="75.599999999999994" customHeight="1">
      <c r="A1" s="29" t="s">
        <v>4</v>
      </c>
      <c r="B1" s="29"/>
      <c r="C1" s="29"/>
      <c r="D1" s="20"/>
      <c r="E1" s="20"/>
      <c r="F1" s="20"/>
      <c r="G1" s="20"/>
      <c r="H1" s="20"/>
      <c r="I1" s="20"/>
      <c r="J1" s="21" t="str">
        <f>DATA!$G$2</f>
        <v>Untitled Show</v>
      </c>
      <c r="Q1" s="1" t="e" vm="1">
        <v>#VALUE!</v>
      </c>
    </row>
    <row r="2" spans="1:17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M2" s="17" t="s">
        <v>43</v>
      </c>
      <c r="N2" s="1">
        <f>COUNTA(Data_Patch[Outlet ID])</f>
        <v>144</v>
      </c>
    </row>
    <row r="3" spans="1:17">
      <c r="A3" s="3" t="s">
        <v>14</v>
      </c>
      <c r="B3" s="3">
        <f>_xlfn.XLOOKUP($A$2&amp;"-"&amp;B$2, Data_Patch[Outlet ID], Data_Patch[Universe], "")</f>
        <v>1</v>
      </c>
      <c r="C3" s="3">
        <f>_xlfn.XLOOKUP($A$2&amp;"-"&amp;C$2, Data_Patch[Outlet ID], Data_Patch[Universe], "")</f>
        <v>2</v>
      </c>
      <c r="D3" s="3">
        <f>_xlfn.XLOOKUP($A$2&amp;"-"&amp;D$2, Data_Patch[Outlet ID], Data_Patch[Universe], "")</f>
        <v>0</v>
      </c>
      <c r="E3" s="3">
        <f>_xlfn.XLOOKUP($A$2&amp;"-"&amp;E$2, Data_Patch[Outlet ID], Data_Patch[Universe], "")</f>
        <v>0</v>
      </c>
      <c r="F3" s="3">
        <f>_xlfn.XLOOKUP($A$2&amp;"-"&amp;F$2, Data_Patch[Outlet ID], Data_Patch[Universe], "")</f>
        <v>12</v>
      </c>
      <c r="G3" s="3">
        <f>_xlfn.XLOOKUP($A$2&amp;"-"&amp;G$2, Data_Patch[Outlet ID], Data_Patch[Universe], "")</f>
        <v>13</v>
      </c>
      <c r="H3" s="3">
        <f>_xlfn.XLOOKUP($A$2&amp;"-"&amp;H$2, Data_Patch[Outlet ID], Data_Patch[Universe], "")</f>
        <v>0</v>
      </c>
      <c r="I3" s="3">
        <f>_xlfn.XLOOKUP($A$2&amp;"-"&amp;I$2, Data_Patch[Outlet ID], Data_Patch[Universe], "")</f>
        <v>0</v>
      </c>
      <c r="J3" s="18" t="s">
        <v>1</v>
      </c>
      <c r="M3" s="17" t="s">
        <v>42</v>
      </c>
      <c r="N3" s="1">
        <v>40</v>
      </c>
    </row>
    <row r="4" spans="1:17">
      <c r="A4" s="3" t="s">
        <v>15</v>
      </c>
      <c r="B4" s="3" t="str">
        <f>_xlfn.XLOOKUP($A$2&amp;"-"&amp;B$2, Data_Patch[Outlet ID], Data_Patch[Cable], "")</f>
        <v>DSB1</v>
      </c>
      <c r="C4" s="3" t="str">
        <f>_xlfn.XLOOKUP($A$2&amp;"-"&amp;C$2, Data_Patch[Outlet ID], Data_Patch[Cable], "")</f>
        <v>DSB2</v>
      </c>
      <c r="D4" s="3" t="str">
        <f>_xlfn.XLOOKUP($A$2&amp;"-"&amp;D$2, Data_Patch[Outlet ID], Data_Patch[Cable], "")</f>
        <v/>
      </c>
      <c r="E4" s="3" t="str">
        <f>_xlfn.XLOOKUP($A$2&amp;"-"&amp;E$2, Data_Patch[Outlet ID], Data_Patch[Cable], "")</f>
        <v/>
      </c>
      <c r="F4" s="3" t="str">
        <f>_xlfn.XLOOKUP($A$2&amp;"-"&amp;F$2, Data_Patch[Outlet ID], Data_Patch[Cable], "")</f>
        <v>SLW1</v>
      </c>
      <c r="G4" s="3" t="str">
        <f>_xlfn.XLOOKUP($A$2&amp;"-"&amp;G$2, Data_Patch[Outlet ID], Data_Patch[Cable], "")</f>
        <v>SLW2</v>
      </c>
      <c r="H4" s="3" t="str">
        <f>_xlfn.XLOOKUP($A$2&amp;"-"&amp;H$2, Data_Patch[Outlet ID], Data_Patch[Cable], "")</f>
        <v/>
      </c>
      <c r="I4" s="3" t="str">
        <f>_xlfn.XLOOKUP($A$2&amp;"-"&amp;I$2, Data_Patch[Outlet ID], Data_Patch[Cable], "")</f>
        <v/>
      </c>
      <c r="J4" s="18" t="s">
        <v>16</v>
      </c>
    </row>
    <row r="5" spans="1:17">
      <c r="A5" s="3"/>
      <c r="B5" s="3" t="str">
        <f>_xlfn.XLOOKUP($A$2&amp;"-"&amp;B$2, Data_Patch[Outlet ID], Data_Patch[Type], "")</f>
        <v>Sneak</v>
      </c>
      <c r="C5" s="3" t="str">
        <f>_xlfn.XLOOKUP($A$2&amp;"-"&amp;C$2, Data_Patch[Outlet ID], Data_Patch[Type], "")</f>
        <v>Sneak</v>
      </c>
      <c r="D5" s="3" t="str">
        <f>_xlfn.XLOOKUP($A$2&amp;"-"&amp;D$2, Data_Patch[Outlet ID], Data_Patch[Type], "")</f>
        <v/>
      </c>
      <c r="E5" s="3" t="str">
        <f>_xlfn.XLOOKUP($A$2&amp;"-"&amp;E$2, Data_Patch[Outlet ID], Data_Patch[Type], "")</f>
        <v/>
      </c>
      <c r="F5" s="3" t="str">
        <f>_xlfn.XLOOKUP($A$2&amp;"-"&amp;F$2, Data_Patch[Outlet ID], Data_Patch[Type], "")</f>
        <v>Sneak</v>
      </c>
      <c r="G5" s="3" t="str">
        <f>_xlfn.XLOOKUP($A$2&amp;"-"&amp;G$2, Data_Patch[Outlet ID], Data_Patch[Type], "")</f>
        <v>Sneak</v>
      </c>
      <c r="H5" s="3" t="str">
        <f>_xlfn.XLOOKUP($A$2&amp;"-"&amp;H$2, Data_Patch[Outlet ID], Data_Patch[Type], "")</f>
        <v/>
      </c>
      <c r="I5" s="3" t="str">
        <f>_xlfn.XLOOKUP($A$2&amp;"-"&amp;I$2, Data_Patch[Outlet ID], Data_Patch[Type], "")</f>
        <v/>
      </c>
      <c r="J5" s="18" t="s">
        <v>0</v>
      </c>
    </row>
    <row r="6" spans="1:17">
      <c r="J6" s="18"/>
    </row>
    <row r="7" spans="1:17">
      <c r="A7" s="2" t="s">
        <v>17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18"/>
    </row>
    <row r="8" spans="1:17">
      <c r="A8" s="3" t="s">
        <v>14</v>
      </c>
      <c r="B8" s="3">
        <f>_xlfn.XLOOKUP($A$7&amp;"-"&amp;B$7, Data_Patch[Outlet ID], Data_Patch[Universe], "")</f>
        <v>0</v>
      </c>
      <c r="C8" s="3">
        <f>_xlfn.XLOOKUP($A$7&amp;"-"&amp;C$7, Data_Patch[Outlet ID], Data_Patch[Universe], "")</f>
        <v>0</v>
      </c>
      <c r="D8" s="3">
        <f>_xlfn.XLOOKUP($A$7&amp;"-"&amp;D$7, Data_Patch[Outlet ID], Data_Patch[Universe], "")</f>
        <v>0</v>
      </c>
      <c r="E8" s="3">
        <f>_xlfn.XLOOKUP($A$7&amp;"-"&amp;E$7, Data_Patch[Outlet ID], Data_Patch[Universe], "")</f>
        <v>0</v>
      </c>
      <c r="F8" s="3">
        <f>_xlfn.XLOOKUP($A$7&amp;"-"&amp;F$7, Data_Patch[Outlet ID], Data_Patch[Universe], "")</f>
        <v>0</v>
      </c>
      <c r="G8" s="3">
        <f>_xlfn.XLOOKUP($A$7&amp;"-"&amp;G$7, Data_Patch[Outlet ID], Data_Patch[Universe], "")</f>
        <v>0</v>
      </c>
      <c r="H8" s="3">
        <f>_xlfn.XLOOKUP($A$7&amp;"-"&amp;H$7, Data_Patch[Outlet ID], Data_Patch[Universe], "")</f>
        <v>0</v>
      </c>
      <c r="I8" s="3">
        <f>_xlfn.XLOOKUP($A$7&amp;"-"&amp;I$7, Data_Patch[Outlet ID], Data_Patch[Universe], "")</f>
        <v>0</v>
      </c>
      <c r="J8" s="18" t="s">
        <v>1</v>
      </c>
    </row>
    <row r="9" spans="1:17">
      <c r="A9" s="3" t="s">
        <v>15</v>
      </c>
      <c r="B9" s="3" t="str">
        <f>_xlfn.XLOOKUP($A$7&amp;"-"&amp;B$7, Data_Patch[Outlet ID], Data_Patch[Cable], "")</f>
        <v/>
      </c>
      <c r="C9" s="3" t="str">
        <f>_xlfn.XLOOKUP($A$7&amp;"-"&amp;C$7, Data_Patch[Outlet ID], Data_Patch[Cable], "")</f>
        <v/>
      </c>
      <c r="D9" s="3" t="str">
        <f>_xlfn.XLOOKUP($A$7&amp;"-"&amp;D$7, Data_Patch[Outlet ID], Data_Patch[Cable], "")</f>
        <v/>
      </c>
      <c r="E9" s="3" t="str">
        <f>_xlfn.XLOOKUP($A$7&amp;"-"&amp;E$7, Data_Patch[Outlet ID], Data_Patch[Cable], "")</f>
        <v/>
      </c>
      <c r="F9" s="3" t="str">
        <f>_xlfn.XLOOKUP($A$7&amp;"-"&amp;F$7, Data_Patch[Outlet ID], Data_Patch[Cable], "")</f>
        <v/>
      </c>
      <c r="G9" s="3" t="str">
        <f>_xlfn.XLOOKUP($A$7&amp;"-"&amp;G$7, Data_Patch[Outlet ID], Data_Patch[Cable], "")</f>
        <v/>
      </c>
      <c r="H9" s="3" t="str">
        <f>_xlfn.XLOOKUP($A$7&amp;"-"&amp;H$7, Data_Patch[Outlet ID], Data_Patch[Cable], "")</f>
        <v/>
      </c>
      <c r="I9" s="3" t="str">
        <f>_xlfn.XLOOKUP($A$7&amp;"-"&amp;I$7, Data_Patch[Outlet ID], Data_Patch[Cable], "")</f>
        <v/>
      </c>
      <c r="J9" s="18" t="s">
        <v>16</v>
      </c>
    </row>
    <row r="10" spans="1:17">
      <c r="A10" s="3"/>
      <c r="B10" s="3" t="str">
        <f>_xlfn.XLOOKUP($A$7&amp;"-"&amp;B$7, Data_Patch[Outlet ID], Data_Patch[Type], "")</f>
        <v/>
      </c>
      <c r="C10" s="3" t="str">
        <f>_xlfn.XLOOKUP($A$7&amp;"-"&amp;C$7, Data_Patch[Outlet ID], Data_Patch[Type], "")</f>
        <v/>
      </c>
      <c r="D10" s="3" t="str">
        <f>_xlfn.XLOOKUP($A$7&amp;"-"&amp;D$7, Data_Patch[Outlet ID], Data_Patch[Type], "")</f>
        <v/>
      </c>
      <c r="E10" s="3" t="str">
        <f>_xlfn.XLOOKUP($A$7&amp;"-"&amp;E$7, Data_Patch[Outlet ID], Data_Patch[Type], "")</f>
        <v/>
      </c>
      <c r="F10" s="3" t="str">
        <f>_xlfn.XLOOKUP($A$7&amp;"-"&amp;F$7, Data_Patch[Outlet ID], Data_Patch[Type], "")</f>
        <v/>
      </c>
      <c r="G10" s="3" t="str">
        <f>_xlfn.XLOOKUP($A$7&amp;"-"&amp;G$7, Data_Patch[Outlet ID], Data_Patch[Type], "")</f>
        <v/>
      </c>
      <c r="H10" s="3" t="str">
        <f>_xlfn.XLOOKUP($A$7&amp;"-"&amp;H$7, Data_Patch[Outlet ID], Data_Patch[Type], "")</f>
        <v/>
      </c>
      <c r="I10" s="3" t="str">
        <f>_xlfn.XLOOKUP($A$7&amp;"-"&amp;I$7, Data_Patch[Outlet ID], Data_Patch[Type], "")</f>
        <v/>
      </c>
      <c r="J10" s="18" t="s">
        <v>0</v>
      </c>
      <c r="Q10" s="1" t="str">
        <f>_xlfn.XLOOKUP($A$2&amp;"-"&amp;B$2, Data_Patch[Outlet ID], Data_Patch[Cable], "")</f>
        <v>DSB1</v>
      </c>
    </row>
    <row r="11" spans="1:17">
      <c r="J11" s="18"/>
      <c r="N11" s="34"/>
      <c r="O11" s="34"/>
    </row>
    <row r="12" spans="1:17">
      <c r="A12" s="2" t="s">
        <v>18</v>
      </c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  <c r="G12" s="3" t="s">
        <v>11</v>
      </c>
      <c r="H12" s="3" t="s">
        <v>12</v>
      </c>
      <c r="I12" s="3" t="s">
        <v>13</v>
      </c>
      <c r="J12" s="18"/>
      <c r="N12" s="14"/>
      <c r="O12" s="15"/>
    </row>
    <row r="13" spans="1:17">
      <c r="A13" s="3" t="s">
        <v>14</v>
      </c>
      <c r="B13" s="3">
        <f>_xlfn.XLOOKUP($A$12&amp;"-"&amp;B$12, Data_Patch[Outlet ID], Data_Patch[Universe], "")</f>
        <v>0</v>
      </c>
      <c r="C13" s="3">
        <f>_xlfn.XLOOKUP($A$12&amp;"-"&amp;C$12, Data_Patch[Outlet ID], Data_Patch[Universe], "")</f>
        <v>0</v>
      </c>
      <c r="D13" s="3">
        <f>_xlfn.XLOOKUP($A$12&amp;"-"&amp;D$12, Data_Patch[Outlet ID], Data_Patch[Universe], "")</f>
        <v>0</v>
      </c>
      <c r="E13" s="3">
        <f>_xlfn.XLOOKUP($A$12&amp;"-"&amp;E$12, Data_Patch[Outlet ID], Data_Patch[Universe], "")</f>
        <v>0</v>
      </c>
      <c r="F13" s="3">
        <f>_xlfn.XLOOKUP($A$12&amp;"-"&amp;F$12, Data_Patch[Outlet ID], Data_Patch[Universe], "")</f>
        <v>0</v>
      </c>
      <c r="G13" s="3">
        <f>_xlfn.XLOOKUP($A$12&amp;"-"&amp;G$12, Data_Patch[Outlet ID], Data_Patch[Universe], "")</f>
        <v>0</v>
      </c>
      <c r="H13" s="3">
        <f>_xlfn.XLOOKUP($A$12&amp;"-"&amp;H$12, Data_Patch[Outlet ID], Data_Patch[Universe], "")</f>
        <v>0</v>
      </c>
      <c r="I13" s="3">
        <f>_xlfn.XLOOKUP($A$12&amp;"-"&amp;I$12, Data_Patch[Outlet ID], Data_Patch[Universe], "")</f>
        <v>0</v>
      </c>
      <c r="J13" s="18" t="s">
        <v>1</v>
      </c>
    </row>
    <row r="14" spans="1:17">
      <c r="A14" s="3" t="s">
        <v>15</v>
      </c>
      <c r="B14" s="3" t="str">
        <f>_xlfn.XLOOKUP($A$12&amp;"-"&amp;B$12, Data_Patch[Outlet ID], Data_Patch[Cable], "")</f>
        <v/>
      </c>
      <c r="C14" s="3" t="str">
        <f>_xlfn.XLOOKUP($A$12&amp;"-"&amp;C$12, Data_Patch[Outlet ID], Data_Patch[Cable], "")</f>
        <v/>
      </c>
      <c r="D14" s="3" t="str">
        <f>_xlfn.XLOOKUP($A$12&amp;"-"&amp;D$12, Data_Patch[Outlet ID], Data_Patch[Cable], "")</f>
        <v/>
      </c>
      <c r="E14" s="3" t="str">
        <f>_xlfn.XLOOKUP($A$12&amp;"-"&amp;E$12, Data_Patch[Outlet ID], Data_Patch[Cable], "")</f>
        <v/>
      </c>
      <c r="F14" s="3" t="str">
        <f>_xlfn.XLOOKUP($A$12&amp;"-"&amp;F$12, Data_Patch[Outlet ID], Data_Patch[Cable], "")</f>
        <v/>
      </c>
      <c r="G14" s="3" t="str">
        <f>_xlfn.XLOOKUP($A$12&amp;"-"&amp;G$12, Data_Patch[Outlet ID], Data_Patch[Cable], "")</f>
        <v/>
      </c>
      <c r="H14" s="3" t="str">
        <f>_xlfn.XLOOKUP($A$12&amp;"-"&amp;H$12, Data_Patch[Outlet ID], Data_Patch[Cable], "")</f>
        <v/>
      </c>
      <c r="I14" s="3" t="str">
        <f>_xlfn.XLOOKUP($A$12&amp;"-"&amp;I$12, Data_Patch[Outlet ID], Data_Patch[Cable], "")</f>
        <v/>
      </c>
      <c r="J14" s="18" t="s">
        <v>16</v>
      </c>
    </row>
    <row r="15" spans="1:17">
      <c r="A15" s="3"/>
      <c r="B15" s="3" t="str">
        <f>_xlfn.XLOOKUP($A$12&amp;"-"&amp;B$12, Data_Patch[Outlet ID], Data_Patch[Type], "")</f>
        <v/>
      </c>
      <c r="C15" s="3" t="str">
        <f>_xlfn.XLOOKUP($A$12&amp;"-"&amp;C$12, Data_Patch[Outlet ID], Data_Patch[Type], "")</f>
        <v/>
      </c>
      <c r="D15" s="3" t="str">
        <f>_xlfn.XLOOKUP($A$12&amp;"-"&amp;D$12, Data_Patch[Outlet ID], Data_Patch[Type], "")</f>
        <v/>
      </c>
      <c r="E15" s="3" t="str">
        <f>_xlfn.XLOOKUP($A$12&amp;"-"&amp;E$12, Data_Patch[Outlet ID], Data_Patch[Type], "")</f>
        <v/>
      </c>
      <c r="F15" s="3" t="str">
        <f>_xlfn.XLOOKUP($A$12&amp;"-"&amp;F$12, Data_Patch[Outlet ID], Data_Patch[Type], "")</f>
        <v/>
      </c>
      <c r="G15" s="3" t="str">
        <f>_xlfn.XLOOKUP($A$12&amp;"-"&amp;G$12, Data_Patch[Outlet ID], Data_Patch[Type], "")</f>
        <v/>
      </c>
      <c r="H15" s="3" t="str">
        <f>_xlfn.XLOOKUP($A$12&amp;"-"&amp;H$12, Data_Patch[Outlet ID], Data_Patch[Type], "")</f>
        <v/>
      </c>
      <c r="I15" s="3" t="str">
        <f>_xlfn.XLOOKUP($A$12&amp;"-"&amp;I$12, Data_Patch[Outlet ID], Data_Patch[Type], "")</f>
        <v/>
      </c>
      <c r="J15" s="18" t="s">
        <v>0</v>
      </c>
    </row>
    <row r="16" spans="1:17">
      <c r="J16" s="18"/>
    </row>
    <row r="17" spans="1:18">
      <c r="A17" s="2" t="s">
        <v>19</v>
      </c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  <c r="G17" s="3" t="s">
        <v>11</v>
      </c>
      <c r="H17" s="3" t="s">
        <v>12</v>
      </c>
      <c r="I17" s="3" t="s">
        <v>13</v>
      </c>
      <c r="J17" s="18"/>
    </row>
    <row r="18" spans="1:18">
      <c r="A18" s="3" t="s">
        <v>14</v>
      </c>
      <c r="B18" s="3">
        <f>_xlfn.XLOOKUP($A$17&amp;"-"&amp;B$17, Data_Patch[Outlet ID], Data_Patch[Universe], "")</f>
        <v>0</v>
      </c>
      <c r="C18" s="3">
        <f>_xlfn.XLOOKUP($A$17&amp;"-"&amp;C$17, Data_Patch[Outlet ID], Data_Patch[Universe], "")</f>
        <v>0</v>
      </c>
      <c r="D18" s="3">
        <f>_xlfn.XLOOKUP($A$17&amp;"-"&amp;D$17, Data_Patch[Outlet ID], Data_Patch[Universe], "")</f>
        <v>0</v>
      </c>
      <c r="E18" s="3">
        <f>_xlfn.XLOOKUP($A$17&amp;"-"&amp;E$17, Data_Patch[Outlet ID], Data_Patch[Universe], "")</f>
        <v>0</v>
      </c>
      <c r="F18" s="3">
        <f>_xlfn.XLOOKUP($A$17&amp;"-"&amp;F$17, Data_Patch[Outlet ID], Data_Patch[Universe], "")</f>
        <v>0</v>
      </c>
      <c r="G18" s="3">
        <f>_xlfn.XLOOKUP($A$17&amp;"-"&amp;G$17, Data_Patch[Outlet ID], Data_Patch[Universe], "")</f>
        <v>0</v>
      </c>
      <c r="H18" s="3">
        <f>_xlfn.XLOOKUP($A$17&amp;"-"&amp;H$17, Data_Patch[Outlet ID], Data_Patch[Universe], "")</f>
        <v>0</v>
      </c>
      <c r="I18" s="3">
        <f>_xlfn.XLOOKUP($A$17&amp;"-"&amp;I$17, Data_Patch[Outlet ID], Data_Patch[Universe], "")</f>
        <v>0</v>
      </c>
      <c r="J18" s="18" t="s">
        <v>1</v>
      </c>
    </row>
    <row r="19" spans="1:18">
      <c r="A19" s="3" t="s">
        <v>15</v>
      </c>
      <c r="B19" s="3" t="str">
        <f>_xlfn.XLOOKUP($A$17&amp;"-"&amp;B$17, Data_Patch[Outlet ID], Data_Patch[Cable], "")</f>
        <v/>
      </c>
      <c r="C19" s="3" t="str">
        <f>_xlfn.XLOOKUP($A$17&amp;"-"&amp;C$17, Data_Patch[Outlet ID], Data_Patch[Cable], "")</f>
        <v/>
      </c>
      <c r="D19" s="3" t="str">
        <f>_xlfn.XLOOKUP($A$17&amp;"-"&amp;D$17, Data_Patch[Outlet ID], Data_Patch[Cable], "")</f>
        <v/>
      </c>
      <c r="E19" s="3" t="str">
        <f>_xlfn.XLOOKUP($A$17&amp;"-"&amp;E$17, Data_Patch[Outlet ID], Data_Patch[Cable], "")</f>
        <v/>
      </c>
      <c r="F19" s="3" t="str">
        <f>_xlfn.XLOOKUP($A$17&amp;"-"&amp;F$17, Data_Patch[Outlet ID], Data_Patch[Cable], "")</f>
        <v/>
      </c>
      <c r="G19" s="3" t="str">
        <f>_xlfn.XLOOKUP($A$17&amp;"-"&amp;G$17, Data_Patch[Outlet ID], Data_Patch[Cable], "")</f>
        <v/>
      </c>
      <c r="H19" s="3" t="str">
        <f>_xlfn.XLOOKUP($A$17&amp;"-"&amp;H$17, Data_Patch[Outlet ID], Data_Patch[Cable], "")</f>
        <v/>
      </c>
      <c r="I19" s="3" t="str">
        <f>_xlfn.XLOOKUP($A$17&amp;"-"&amp;I$17, Data_Patch[Outlet ID], Data_Patch[Cable], "")</f>
        <v/>
      </c>
      <c r="J19" s="18" t="s">
        <v>16</v>
      </c>
    </row>
    <row r="20" spans="1:18">
      <c r="A20" s="3"/>
      <c r="B20" s="3" t="str">
        <f>_xlfn.XLOOKUP($A$17&amp;"-"&amp;B$17, Data_Patch[Outlet ID], Data_Patch[Type], "")</f>
        <v/>
      </c>
      <c r="C20" s="3" t="str">
        <f>_xlfn.XLOOKUP($A$17&amp;"-"&amp;C$17, Data_Patch[Outlet ID], Data_Patch[Type], "")</f>
        <v/>
      </c>
      <c r="D20" s="3" t="str">
        <f>_xlfn.XLOOKUP($A$17&amp;"-"&amp;D$17, Data_Patch[Outlet ID], Data_Patch[Type], "")</f>
        <v/>
      </c>
      <c r="E20" s="3" t="str">
        <f>_xlfn.XLOOKUP($A$17&amp;"-"&amp;E$17, Data_Patch[Outlet ID], Data_Patch[Type], "")</f>
        <v/>
      </c>
      <c r="F20" s="3" t="str">
        <f>_xlfn.XLOOKUP($A$17&amp;"-"&amp;F$17, Data_Patch[Outlet ID], Data_Patch[Type], "")</f>
        <v/>
      </c>
      <c r="G20" s="3" t="str">
        <f>_xlfn.XLOOKUP($A$17&amp;"-"&amp;G$17, Data_Patch[Outlet ID], Data_Patch[Type], "")</f>
        <v/>
      </c>
      <c r="H20" s="3" t="str">
        <f>_xlfn.XLOOKUP($A$17&amp;"-"&amp;H$17, Data_Patch[Outlet ID], Data_Patch[Type], "")</f>
        <v/>
      </c>
      <c r="I20" s="3" t="str">
        <f>_xlfn.XLOOKUP($A$17&amp;"-"&amp;I$17, Data_Patch[Outlet ID], Data_Patch[Type], "")</f>
        <v/>
      </c>
      <c r="J20" s="18" t="s">
        <v>0</v>
      </c>
    </row>
    <row r="21" spans="1:18">
      <c r="J21" s="18"/>
    </row>
    <row r="22" spans="1:18">
      <c r="A22" s="2" t="s">
        <v>20</v>
      </c>
      <c r="B22" s="3" t="s">
        <v>6</v>
      </c>
      <c r="C22" s="3" t="s">
        <v>7</v>
      </c>
      <c r="D22" s="3" t="s">
        <v>8</v>
      </c>
      <c r="E22" s="3" t="s">
        <v>9</v>
      </c>
      <c r="F22" s="3" t="s">
        <v>10</v>
      </c>
      <c r="G22" s="3" t="s">
        <v>11</v>
      </c>
      <c r="H22" s="3" t="s">
        <v>12</v>
      </c>
      <c r="I22" s="3" t="s">
        <v>13</v>
      </c>
      <c r="J22" s="18"/>
    </row>
    <row r="23" spans="1:18">
      <c r="A23" s="3" t="s">
        <v>14</v>
      </c>
      <c r="B23" s="3">
        <f>_xlfn.XLOOKUP($A$22&amp;"-"&amp;B$22, Data_Patch[Outlet ID], Data_Patch[Universe], "")</f>
        <v>0</v>
      </c>
      <c r="C23" s="3">
        <f>_xlfn.XLOOKUP($A$22&amp;"-"&amp;C$22, Data_Patch[Outlet ID], Data_Patch[Universe], "")</f>
        <v>0</v>
      </c>
      <c r="D23" s="3">
        <f>_xlfn.XLOOKUP($A$22&amp;"-"&amp;D$22, Data_Patch[Outlet ID], Data_Patch[Universe], "")</f>
        <v>0</v>
      </c>
      <c r="E23" s="3">
        <f>_xlfn.XLOOKUP($A$22&amp;"-"&amp;E$22, Data_Patch[Outlet ID], Data_Patch[Universe], "")</f>
        <v>0</v>
      </c>
      <c r="F23" s="3">
        <f>_xlfn.XLOOKUP($A$22&amp;"-"&amp;F$22, Data_Patch[Outlet ID], Data_Patch[Universe], "")</f>
        <v>0</v>
      </c>
      <c r="G23" s="3">
        <f>_xlfn.XLOOKUP($A$22&amp;"-"&amp;G$22, Data_Patch[Outlet ID], Data_Patch[Universe], "")</f>
        <v>0</v>
      </c>
      <c r="H23" s="3">
        <f>_xlfn.XLOOKUP($A$22&amp;"-"&amp;H$22, Data_Patch[Outlet ID], Data_Patch[Universe], "")</f>
        <v>0</v>
      </c>
      <c r="I23" s="3">
        <f>_xlfn.XLOOKUP($A$22&amp;"-"&amp;I$22, Data_Patch[Outlet ID], Data_Patch[Universe], "")</f>
        <v>0</v>
      </c>
      <c r="J23" s="18" t="s">
        <v>1</v>
      </c>
    </row>
    <row r="24" spans="1:18">
      <c r="A24" s="3" t="s">
        <v>15</v>
      </c>
      <c r="B24" s="3" t="str">
        <f>_xlfn.XLOOKUP($A$22&amp;"-"&amp;B$22, Data_Patch[Outlet ID], Data_Patch[Cable], "")</f>
        <v/>
      </c>
      <c r="C24" s="3" t="str">
        <f>_xlfn.XLOOKUP($A$22&amp;"-"&amp;C$22, Data_Patch[Outlet ID], Data_Patch[Cable], "")</f>
        <v/>
      </c>
      <c r="D24" s="3" t="str">
        <f>_xlfn.XLOOKUP($A$22&amp;"-"&amp;D$22, Data_Patch[Outlet ID], Data_Patch[Cable], "")</f>
        <v/>
      </c>
      <c r="E24" s="3" t="str">
        <f>_xlfn.XLOOKUP($A$22&amp;"-"&amp;E$22, Data_Patch[Outlet ID], Data_Patch[Cable], "")</f>
        <v/>
      </c>
      <c r="F24" s="3" t="str">
        <f>_xlfn.XLOOKUP($A$22&amp;"-"&amp;F$22, Data_Patch[Outlet ID], Data_Patch[Cable], "")</f>
        <v/>
      </c>
      <c r="G24" s="3" t="str">
        <f>_xlfn.XLOOKUP($A$22&amp;"-"&amp;G$22, Data_Patch[Outlet ID], Data_Patch[Cable], "")</f>
        <v/>
      </c>
      <c r="H24" s="3" t="str">
        <f>_xlfn.XLOOKUP($A$22&amp;"-"&amp;H$22, Data_Patch[Outlet ID], Data_Patch[Cable], "")</f>
        <v/>
      </c>
      <c r="I24" s="3" t="str">
        <f>_xlfn.XLOOKUP($A$22&amp;"-"&amp;I$22, Data_Patch[Outlet ID], Data_Patch[Cable], "")</f>
        <v/>
      </c>
      <c r="J24" s="18" t="s">
        <v>16</v>
      </c>
    </row>
    <row r="25" spans="1:18">
      <c r="A25" s="3"/>
      <c r="B25" s="3" t="str">
        <f>_xlfn.XLOOKUP($A$22&amp;"-"&amp;B$22, Data_Patch[Outlet ID], Data_Patch[Type], "")</f>
        <v/>
      </c>
      <c r="C25" s="3" t="str">
        <f>_xlfn.XLOOKUP($A$22&amp;"-"&amp;C$22, Data_Patch[Outlet ID], Data_Patch[Type], "")</f>
        <v/>
      </c>
      <c r="D25" s="3" t="str">
        <f>_xlfn.XLOOKUP($A$22&amp;"-"&amp;D$22, Data_Patch[Outlet ID], Data_Patch[Type], "")</f>
        <v/>
      </c>
      <c r="E25" s="3" t="str">
        <f>_xlfn.XLOOKUP($A$22&amp;"-"&amp;E$22, Data_Patch[Outlet ID], Data_Patch[Type], "")</f>
        <v/>
      </c>
      <c r="F25" s="3" t="str">
        <f>_xlfn.XLOOKUP($A$22&amp;"-"&amp;F$22, Data_Patch[Outlet ID], Data_Patch[Type], "")</f>
        <v/>
      </c>
      <c r="G25" s="3" t="str">
        <f>_xlfn.XLOOKUP($A$22&amp;"-"&amp;G$22, Data_Patch[Outlet ID], Data_Patch[Type], "")</f>
        <v/>
      </c>
      <c r="H25" s="3" t="str">
        <f>_xlfn.XLOOKUP($A$22&amp;"-"&amp;H$22, Data_Patch[Outlet ID], Data_Patch[Type], "")</f>
        <v/>
      </c>
      <c r="I25" s="3" t="str">
        <f>_xlfn.XLOOKUP($A$22&amp;"-"&amp;I$22, Data_Patch[Outlet ID], Data_Patch[Type], "")</f>
        <v/>
      </c>
      <c r="J25" s="18" t="s">
        <v>0</v>
      </c>
    </row>
    <row r="27" spans="1:18" ht="6" customHeight="1">
      <c r="B27" s="30"/>
      <c r="C27" s="31"/>
      <c r="D27" s="32"/>
      <c r="E27" s="33"/>
      <c r="F27" s="35"/>
      <c r="G27" s="36"/>
      <c r="H27" s="37"/>
      <c r="I27" s="38"/>
      <c r="J27" s="7"/>
      <c r="K27" s="3"/>
      <c r="L27" s="8"/>
      <c r="M27" s="9"/>
      <c r="N27" s="10"/>
      <c r="O27" s="11"/>
      <c r="P27" s="12"/>
      <c r="Q27" s="27" t="s">
        <v>29</v>
      </c>
      <c r="R27" s="28"/>
    </row>
    <row r="28" spans="1:18" ht="6" customHeight="1">
      <c r="B28" s="30"/>
      <c r="C28" s="31"/>
      <c r="D28" s="32"/>
      <c r="E28" s="33"/>
      <c r="F28" s="35"/>
      <c r="G28" s="36"/>
      <c r="H28" s="37"/>
      <c r="I28" s="38"/>
      <c r="J28" s="13"/>
      <c r="K28" s="13"/>
      <c r="L28" s="13"/>
      <c r="M28" s="13"/>
      <c r="N28" s="13"/>
      <c r="O28" s="13"/>
      <c r="P28" s="13"/>
      <c r="Q28" s="27"/>
      <c r="R28" s="28"/>
    </row>
    <row r="29" spans="1:18" ht="15" hidden="1" customHeight="1">
      <c r="B29" s="3">
        <v>1</v>
      </c>
      <c r="C29" s="3">
        <v>2</v>
      </c>
      <c r="D29" s="1">
        <v>3</v>
      </c>
      <c r="E29" s="1">
        <v>4</v>
      </c>
      <c r="F29" s="1">
        <v>5</v>
      </c>
      <c r="G29" s="1">
        <v>6</v>
      </c>
      <c r="H29" s="1">
        <v>7</v>
      </c>
      <c r="I29" s="1">
        <v>8</v>
      </c>
      <c r="J29" s="1">
        <v>9</v>
      </c>
      <c r="K29" s="1">
        <v>10</v>
      </c>
      <c r="L29" s="1">
        <v>11</v>
      </c>
      <c r="M29" s="1">
        <v>12</v>
      </c>
      <c r="N29" s="1">
        <v>13</v>
      </c>
      <c r="O29" s="1">
        <v>14</v>
      </c>
      <c r="P29" s="1">
        <v>15</v>
      </c>
      <c r="Q29" s="19"/>
      <c r="R29" s="19"/>
    </row>
    <row r="30" spans="1:18">
      <c r="A30" s="6" t="s">
        <v>21</v>
      </c>
      <c r="B30" s="3" t="str">
        <f>_xlfn.XLOOKUP(B29, Data_Multis[Multi ID], Data_Multis[Multi Name], "")</f>
        <v>DSB1</v>
      </c>
      <c r="C30" s="3" t="str">
        <f>_xlfn.XLOOKUP(C29, Data_Multis[Multi ID], Data_Multis[Multi Name], "")</f>
        <v>SLW1</v>
      </c>
      <c r="D30" s="3" t="str">
        <f>_xlfn.XLOOKUP(D29, Data_Multis[Multi ID], Data_Multis[Multi Name], "")</f>
        <v>THR1</v>
      </c>
      <c r="E30" s="3" t="str">
        <f>_xlfn.XLOOKUP(E29, Data_Multis[Multi ID], Data_Multis[Multi Name], "")</f>
        <v>THR2</v>
      </c>
      <c r="F30" s="3" t="str">
        <f>_xlfn.XLOOKUP(F29, Data_Multis[Multi ID], Data_Multis[Multi Name], "")</f>
        <v>DSL1</v>
      </c>
      <c r="G30" s="3" t="str">
        <f>_xlfn.XLOOKUP(G29, Data_Multis[Multi ID], Data_Multis[Multi Name], "")</f>
        <v>SLWF1</v>
      </c>
      <c r="H30" s="3" t="str">
        <f>_xlfn.XLOOKUP(H29, Data_Multis[Multi ID], Data_Multis[Multi Name], "")</f>
        <v>SRL1</v>
      </c>
      <c r="I30" s="3" t="str">
        <f>_xlfn.XLOOKUP(I29, Data_Multis[Multi ID], Data_Multis[Multi Name], "")</f>
        <v>SLL1</v>
      </c>
      <c r="J30" s="3" t="str">
        <f>_xlfn.XLOOKUP(J29, Data_Multis[Multi ID], Data_Multis[Multi Name], "")</f>
        <v/>
      </c>
      <c r="K30" s="3" t="str">
        <f>_xlfn.XLOOKUP(K29, Data_Multis[Multi ID], Data_Multis[Multi Name], "")</f>
        <v/>
      </c>
      <c r="L30" s="3" t="str">
        <f>_xlfn.XLOOKUP(L29, Data_Multis[Multi ID], Data_Multis[Multi Name], "")</f>
        <v/>
      </c>
      <c r="M30" s="3" t="str">
        <f>_xlfn.XLOOKUP(M29, Data_Multis[Multi ID], Data_Multis[Multi Name], "")</f>
        <v/>
      </c>
      <c r="N30" s="3" t="str">
        <f>_xlfn.XLOOKUP(N29, Data_Multis[Multi ID], Data_Multis[Multi Name], "")</f>
        <v/>
      </c>
      <c r="O30" s="3" t="str">
        <f>_xlfn.XLOOKUP(O29, Data_Multis[Multi ID], Data_Multis[Multi Name], "")</f>
        <v/>
      </c>
      <c r="P30" s="3" t="str">
        <f>_xlfn.XLOOKUP(P29, Data_Multis[Multi ID], Data_Multis[Multi Name], "")</f>
        <v/>
      </c>
      <c r="Q30" s="19" t="s">
        <v>22</v>
      </c>
      <c r="R30" s="19"/>
    </row>
    <row r="31" spans="1:18">
      <c r="A31" s="4" t="s">
        <v>23</v>
      </c>
      <c r="B31" s="3" t="str">
        <f>_xlfn.XLOOKUP(B29, Data_Multis[Multi ID], Data_Multis[Line 1], "")</f>
        <v>DSB1 U1</v>
      </c>
      <c r="C31" s="3" t="str">
        <f>_xlfn.XLOOKUP(C29, Data_Multis[Multi ID], Data_Multis[Line 1], "")</f>
        <v>SLW1 U12</v>
      </c>
      <c r="D31" s="3" t="str">
        <f>_xlfn.XLOOKUP(D29, Data_Multis[Multi ID], Data_Multis[Line 1], "")</f>
        <v>THR1 U17</v>
      </c>
      <c r="E31" s="3" t="str">
        <f>_xlfn.XLOOKUP(E29, Data_Multis[Multi ID], Data_Multis[Line 1], "")</f>
        <v>THR5 U21</v>
      </c>
      <c r="F31" s="3" t="str">
        <f>_xlfn.XLOOKUP(F29, Data_Multis[Multi ID], Data_Multis[Line 1], "")</f>
        <v>DSL1 U22</v>
      </c>
      <c r="G31" s="3" t="str">
        <f>_xlfn.XLOOKUP(G29, Data_Multis[Multi ID], Data_Multis[Line 1], "")</f>
        <v>SLWF1 U24</v>
      </c>
      <c r="H31" s="3" t="str">
        <f>_xlfn.XLOOKUP(H29, Data_Multis[Multi ID], Data_Multis[Line 1], "")</f>
        <v>SRL1 U25</v>
      </c>
      <c r="I31" s="3" t="str">
        <f>_xlfn.XLOOKUP(I29, Data_Multis[Multi ID], Data_Multis[Line 1], "")</f>
        <v>SLL1 U29</v>
      </c>
      <c r="J31" s="3" t="str">
        <f>_xlfn.XLOOKUP(J29, Data_Multis[Multi ID], Data_Multis[Line 1], "")</f>
        <v/>
      </c>
      <c r="K31" s="3" t="str">
        <f>_xlfn.XLOOKUP(K29, Data_Multis[Multi ID], Data_Multis[Line 1], "")</f>
        <v/>
      </c>
      <c r="L31" s="3" t="str">
        <f>_xlfn.XLOOKUP(L29, Data_Multis[Multi ID], Data_Multis[Line 1], "")</f>
        <v/>
      </c>
      <c r="M31" s="3" t="str">
        <f>_xlfn.XLOOKUP(M29, Data_Multis[Multi ID], Data_Multis[Line 1], "")</f>
        <v/>
      </c>
      <c r="N31" s="3" t="str">
        <f>_xlfn.XLOOKUP(N29, Data_Multis[Multi ID], Data_Multis[Line 1], "")</f>
        <v/>
      </c>
      <c r="O31" s="3" t="str">
        <f>_xlfn.XLOOKUP(O29, Data_Multis[Multi ID], Data_Multis[Line 1], "")</f>
        <v/>
      </c>
      <c r="P31" s="3" t="str">
        <f>_xlfn.XLOOKUP(P29, Data_Multis[Multi ID], Data_Multis[Line 1], "")</f>
        <v/>
      </c>
    </row>
    <row r="32" spans="1:18">
      <c r="A32" s="4" t="s">
        <v>24</v>
      </c>
      <c r="B32" s="3" t="str">
        <f>_xlfn.XLOOKUP(B29, Data_Multis[Multi ID], Data_Multis[Line 2], "")</f>
        <v>DSB2 U2</v>
      </c>
      <c r="C32" s="3" t="str">
        <f>_xlfn.XLOOKUP(C29, Data_Multis[Multi ID], Data_Multis[Line 2], "")</f>
        <v>SLW2 U13</v>
      </c>
      <c r="D32" s="3" t="str">
        <f>_xlfn.XLOOKUP(D29, Data_Multis[Multi ID], Data_Multis[Line 2], "")</f>
        <v>THR2 U18</v>
      </c>
      <c r="E32" s="3" t="str">
        <f>_xlfn.XLOOKUP(E29, Data_Multis[Multi ID], Data_Multis[Line 2], "")</f>
        <v/>
      </c>
      <c r="F32" s="3" t="str">
        <f>_xlfn.XLOOKUP(F29, Data_Multis[Multi ID], Data_Multis[Line 2], "")</f>
        <v>DSL2 U23</v>
      </c>
      <c r="G32" s="3" t="str">
        <f>_xlfn.XLOOKUP(G29, Data_Multis[Multi ID], Data_Multis[Line 2], "")</f>
        <v/>
      </c>
      <c r="H32" s="3" t="str">
        <f>_xlfn.XLOOKUP(H29, Data_Multis[Multi ID], Data_Multis[Line 2], "")</f>
        <v>SRL2 U26</v>
      </c>
      <c r="I32" s="3" t="str">
        <f>_xlfn.XLOOKUP(I29, Data_Multis[Multi ID], Data_Multis[Line 2], "")</f>
        <v>SLL2 U30</v>
      </c>
      <c r="J32" s="3" t="str">
        <f>_xlfn.XLOOKUP(J29, Data_Multis[Multi ID], Data_Multis[Line 2], "")</f>
        <v/>
      </c>
      <c r="K32" s="3" t="str">
        <f>_xlfn.XLOOKUP(K29, Data_Multis[Multi ID], Data_Multis[Line 2], "")</f>
        <v/>
      </c>
      <c r="L32" s="3" t="str">
        <f>_xlfn.XLOOKUP(L29, Data_Multis[Multi ID], Data_Multis[Line 2], "")</f>
        <v/>
      </c>
      <c r="M32" s="3" t="str">
        <f>_xlfn.XLOOKUP(M29, Data_Multis[Multi ID], Data_Multis[Line 2], "")</f>
        <v/>
      </c>
      <c r="N32" s="3" t="str">
        <f>_xlfn.XLOOKUP(N29, Data_Multis[Multi ID], Data_Multis[Line 2], "")</f>
        <v/>
      </c>
      <c r="O32" s="3" t="str">
        <f>_xlfn.XLOOKUP(O29, Data_Multis[Multi ID], Data_Multis[Line 2], "")</f>
        <v/>
      </c>
      <c r="P32" s="3" t="str">
        <f>_xlfn.XLOOKUP(P29, Data_Multis[Multi ID], Data_Multis[Line 2], "")</f>
        <v/>
      </c>
    </row>
    <row r="33" spans="1:16">
      <c r="A33" s="4" t="s">
        <v>25</v>
      </c>
      <c r="B33" s="3" t="str">
        <f>_xlfn.XLOOKUP(B29, Data_Multis[Multi ID], Data_Multis[Line 3], "")</f>
        <v/>
      </c>
      <c r="C33" s="3" t="str">
        <f>_xlfn.XLOOKUP(C29, Data_Multis[Multi ID], Data_Multis[Line 3], "")</f>
        <v/>
      </c>
      <c r="D33" s="3" t="str">
        <f>_xlfn.XLOOKUP(D29, Data_Multis[Multi ID], Data_Multis[Line 3], "")</f>
        <v>THR3 U19</v>
      </c>
      <c r="E33" s="3" t="str">
        <f>_xlfn.XLOOKUP(E29, Data_Multis[Multi ID], Data_Multis[Line 3], "")</f>
        <v/>
      </c>
      <c r="F33" s="3" t="str">
        <f>_xlfn.XLOOKUP(F29, Data_Multis[Multi ID], Data_Multis[Line 3], "")</f>
        <v/>
      </c>
      <c r="G33" s="3" t="str">
        <f>_xlfn.XLOOKUP(G29, Data_Multis[Multi ID], Data_Multis[Line 3], "")</f>
        <v/>
      </c>
      <c r="H33" s="3" t="str">
        <f>_xlfn.XLOOKUP(H29, Data_Multis[Multi ID], Data_Multis[Line 3], "")</f>
        <v>SRL3 U27</v>
      </c>
      <c r="I33" s="3" t="str">
        <f>_xlfn.XLOOKUP(I29, Data_Multis[Multi ID], Data_Multis[Line 3], "")</f>
        <v>SLL3 U31</v>
      </c>
      <c r="J33" s="3" t="str">
        <f>_xlfn.XLOOKUP(J29, Data_Multis[Multi ID], Data_Multis[Line 3], "")</f>
        <v/>
      </c>
      <c r="K33" s="3" t="str">
        <f>_xlfn.XLOOKUP(K29, Data_Multis[Multi ID], Data_Multis[Line 3], "")</f>
        <v/>
      </c>
      <c r="L33" s="3" t="str">
        <f>_xlfn.XLOOKUP(L29, Data_Multis[Multi ID], Data_Multis[Line 3], "")</f>
        <v/>
      </c>
      <c r="M33" s="3" t="str">
        <f>_xlfn.XLOOKUP(M29, Data_Multis[Multi ID], Data_Multis[Line 3], "")</f>
        <v/>
      </c>
      <c r="N33" s="3" t="str">
        <f>_xlfn.XLOOKUP(N29, Data_Multis[Multi ID], Data_Multis[Line 3], "")</f>
        <v/>
      </c>
      <c r="O33" s="3" t="str">
        <f>_xlfn.XLOOKUP(O29, Data_Multis[Multi ID], Data_Multis[Line 3], "")</f>
        <v/>
      </c>
      <c r="P33" s="3" t="str">
        <f>_xlfn.XLOOKUP(P29, Data_Multis[Multi ID], Data_Multis[Line 3], "")</f>
        <v/>
      </c>
    </row>
    <row r="34" spans="1:16">
      <c r="A34" s="4" t="s">
        <v>26</v>
      </c>
      <c r="B34" s="3" t="str">
        <f>_xlfn.XLOOKUP(B29, Data_Multis[Multi ID], Data_Multis[Line 4], "")</f>
        <v/>
      </c>
      <c r="C34" s="3" t="str">
        <f>_xlfn.XLOOKUP(C29, Data_Multis[Multi ID], Data_Multis[Line 4], "")</f>
        <v/>
      </c>
      <c r="D34" s="3" t="str">
        <f>_xlfn.XLOOKUP(D29, Data_Multis[Multi ID], Data_Multis[Line 4], "")</f>
        <v>THR4 U20</v>
      </c>
      <c r="E34" s="3" t="str">
        <f>_xlfn.XLOOKUP(E29, Data_Multis[Multi ID], Data_Multis[Line 4], "")</f>
        <v/>
      </c>
      <c r="F34" s="3" t="str">
        <f>_xlfn.XLOOKUP(F29, Data_Multis[Multi ID], Data_Multis[Line 4], "")</f>
        <v/>
      </c>
      <c r="G34" s="3" t="str">
        <f>_xlfn.XLOOKUP(G29, Data_Multis[Multi ID], Data_Multis[Line 4], "")</f>
        <v/>
      </c>
      <c r="H34" s="3" t="str">
        <f>_xlfn.XLOOKUP(H29, Data_Multis[Multi ID], Data_Multis[Line 4], "")</f>
        <v>SRL4 U28</v>
      </c>
      <c r="I34" s="3" t="str">
        <f>_xlfn.XLOOKUP(I29, Data_Multis[Multi ID], Data_Multis[Line 4], "")</f>
        <v>SLL4 U32</v>
      </c>
      <c r="J34" s="3" t="str">
        <f>_xlfn.XLOOKUP(J29, Data_Multis[Multi ID], Data_Multis[Line 4], "")</f>
        <v/>
      </c>
      <c r="K34" s="3" t="str">
        <f>_xlfn.XLOOKUP(K29, Data_Multis[Multi ID], Data_Multis[Line 4], "")</f>
        <v/>
      </c>
      <c r="L34" s="3" t="str">
        <f>_xlfn.XLOOKUP(L29, Data_Multis[Multi ID], Data_Multis[Line 4], "")</f>
        <v/>
      </c>
      <c r="M34" s="3" t="str">
        <f>_xlfn.XLOOKUP(M29, Data_Multis[Multi ID], Data_Multis[Line 4], "")</f>
        <v/>
      </c>
      <c r="N34" s="3" t="str">
        <f>_xlfn.XLOOKUP(N29, Data_Multis[Multi ID], Data_Multis[Line 4], "")</f>
        <v/>
      </c>
      <c r="O34" s="3" t="str">
        <f>_xlfn.XLOOKUP(O29, Data_Multis[Multi ID], Data_Multis[Line 4], "")</f>
        <v/>
      </c>
      <c r="P34" s="3" t="str">
        <f>_xlfn.XLOOKUP(P29, Data_Multis[Multi ID], Data_Multis[Line 4], "")</f>
        <v/>
      </c>
    </row>
    <row r="36" spans="1:16">
      <c r="A36" s="4" t="s">
        <v>27</v>
      </c>
      <c r="B36" s="5" t="s">
        <v>6</v>
      </c>
      <c r="C36" s="5" t="s">
        <v>7</v>
      </c>
      <c r="D36" s="5" t="s">
        <v>8</v>
      </c>
      <c r="E36" s="5" t="s">
        <v>9</v>
      </c>
      <c r="F36" s="5" t="s">
        <v>10</v>
      </c>
      <c r="G36" s="5" t="s">
        <v>11</v>
      </c>
      <c r="H36" s="5" t="s">
        <v>12</v>
      </c>
      <c r="I36" s="5" t="s">
        <v>13</v>
      </c>
      <c r="J36" s="18"/>
    </row>
    <row r="37" spans="1:16">
      <c r="A37" s="3"/>
      <c r="B37" s="5"/>
      <c r="C37" s="5"/>
      <c r="D37" s="5"/>
      <c r="E37" s="5"/>
      <c r="F37" s="5"/>
      <c r="G37" s="5"/>
      <c r="H37" s="5"/>
      <c r="I37" s="5"/>
      <c r="J37" s="18" t="s">
        <v>16</v>
      </c>
    </row>
    <row r="38" spans="1:16">
      <c r="B38" s="3"/>
      <c r="C38" s="3"/>
      <c r="D38" s="3"/>
      <c r="E38" s="3"/>
      <c r="F38" s="3"/>
      <c r="G38" s="3"/>
      <c r="H38" s="3"/>
      <c r="I38" s="3"/>
      <c r="J38" s="18" t="s">
        <v>0</v>
      </c>
    </row>
    <row r="39" spans="1:16">
      <c r="J39" s="18"/>
    </row>
    <row r="40" spans="1:16">
      <c r="A40" s="4" t="s">
        <v>27</v>
      </c>
      <c r="B40" s="5" t="s">
        <v>6</v>
      </c>
      <c r="C40" s="5" t="s">
        <v>7</v>
      </c>
      <c r="D40" s="5" t="s">
        <v>8</v>
      </c>
      <c r="E40" s="5" t="s">
        <v>9</v>
      </c>
      <c r="F40" s="5" t="s">
        <v>10</v>
      </c>
      <c r="G40" s="5" t="s">
        <v>11</v>
      </c>
      <c r="H40" s="5" t="s">
        <v>12</v>
      </c>
      <c r="I40" s="5" t="s">
        <v>13</v>
      </c>
      <c r="J40" s="18"/>
    </row>
    <row r="41" spans="1:16">
      <c r="A41" s="3"/>
      <c r="B41" s="5"/>
      <c r="C41" s="5"/>
      <c r="D41" s="5"/>
      <c r="E41" s="5"/>
      <c r="F41" s="5"/>
      <c r="G41" s="5"/>
      <c r="H41" s="5"/>
      <c r="I41" s="5"/>
      <c r="J41" s="18" t="s">
        <v>16</v>
      </c>
    </row>
    <row r="42" spans="1:16">
      <c r="B42" s="3"/>
      <c r="C42" s="3"/>
      <c r="D42" s="3"/>
      <c r="E42" s="3"/>
      <c r="F42" s="3"/>
      <c r="G42" s="3"/>
      <c r="H42" s="3"/>
      <c r="I42" s="3"/>
      <c r="J42" s="18" t="s">
        <v>0</v>
      </c>
    </row>
    <row r="43" spans="1:16">
      <c r="J43" s="18"/>
    </row>
    <row r="44" spans="1:16">
      <c r="A44" s="4" t="s">
        <v>27</v>
      </c>
      <c r="B44" s="5" t="s">
        <v>6</v>
      </c>
      <c r="C44" s="5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18"/>
    </row>
    <row r="45" spans="1:16">
      <c r="A45" s="3"/>
      <c r="B45" s="5"/>
      <c r="C45" s="5"/>
      <c r="D45" s="5"/>
      <c r="E45" s="5"/>
      <c r="F45" s="5"/>
      <c r="G45" s="5"/>
      <c r="H45" s="5"/>
      <c r="I45" s="5"/>
      <c r="J45" s="18" t="s">
        <v>16</v>
      </c>
    </row>
    <row r="46" spans="1:16">
      <c r="B46" s="3"/>
      <c r="C46" s="3"/>
      <c r="D46" s="3"/>
      <c r="E46" s="3"/>
      <c r="F46" s="3"/>
      <c r="G46" s="3"/>
      <c r="H46" s="3"/>
      <c r="I46" s="3"/>
      <c r="J46" s="18" t="s">
        <v>0</v>
      </c>
    </row>
    <row r="47" spans="1:16">
      <c r="J47" s="18"/>
    </row>
    <row r="48" spans="1:16">
      <c r="A48" s="4" t="s">
        <v>27</v>
      </c>
      <c r="B48" s="5" t="s">
        <v>6</v>
      </c>
      <c r="C48" s="5" t="s">
        <v>7</v>
      </c>
      <c r="D48" s="5" t="s">
        <v>8</v>
      </c>
      <c r="E48" s="5" t="s">
        <v>9</v>
      </c>
      <c r="F48" s="5" t="s">
        <v>10</v>
      </c>
      <c r="G48" s="5" t="s">
        <v>11</v>
      </c>
      <c r="H48" s="5" t="s">
        <v>12</v>
      </c>
      <c r="I48" s="5" t="s">
        <v>13</v>
      </c>
      <c r="J48" s="18"/>
    </row>
    <row r="49" spans="1:10">
      <c r="A49" s="3"/>
      <c r="B49" s="5"/>
      <c r="C49" s="5"/>
      <c r="D49" s="5"/>
      <c r="E49" s="5"/>
      <c r="F49" s="5"/>
      <c r="G49" s="5"/>
      <c r="H49" s="5"/>
      <c r="I49" s="5"/>
      <c r="J49" s="18" t="s">
        <v>16</v>
      </c>
    </row>
    <row r="50" spans="1:10">
      <c r="B50" s="3"/>
      <c r="C50" s="3"/>
      <c r="D50" s="3"/>
      <c r="E50" s="3"/>
      <c r="F50" s="3"/>
      <c r="G50" s="3"/>
      <c r="H50" s="3"/>
      <c r="I50" s="3"/>
      <c r="J50" s="18" t="s">
        <v>0</v>
      </c>
    </row>
  </sheetData>
  <mergeCells count="11">
    <mergeCell ref="Q27:R28"/>
    <mergeCell ref="A1:C1"/>
    <mergeCell ref="B27:B28"/>
    <mergeCell ref="C27:C28"/>
    <mergeCell ref="D27:D28"/>
    <mergeCell ref="E27:E28"/>
    <mergeCell ref="N11:O11"/>
    <mergeCell ref="F27:F28"/>
    <mergeCell ref="G27:G28"/>
    <mergeCell ref="H27:H28"/>
    <mergeCell ref="I27:I28"/>
  </mergeCells>
  <conditionalFormatting sqref="B4:I4">
    <cfRule type="expression" dxfId="238" priority="51">
      <formula>_xlfn.XLOOKUP($A2&amp;"-"&amp;B$2, Data_Patch_Lookup, Data_Patch_Color_Lookup, "") = "black"</formula>
    </cfRule>
    <cfRule type="expression" dxfId="237" priority="52">
      <formula>_xlfn.XLOOKUP($A2&amp;"-"&amp;B$2, Data_Patch_Lookup, Data_Patch_Color_Lookup, "") = "purple"</formula>
    </cfRule>
    <cfRule type="expression" dxfId="236" priority="53">
      <formula>_xlfn.XLOOKUP($A2&amp;"-"&amp;B$2, Data_Patch_Lookup, Data_Patch_Color_Lookup, "") = "grey"</formula>
    </cfRule>
    <cfRule type="expression" dxfId="235" priority="54">
      <formula>_xlfn.XLOOKUP($A2&amp;"-"&amp;B$2, Data_Patch_Lookup, Data_Patch_Color_Lookup, "") = "brown"</formula>
    </cfRule>
    <cfRule type="expression" dxfId="234" priority="55">
      <formula>_xlfn.XLOOKUP($A2&amp;"-"&amp;B$2, Data_Patch_Lookup, Data_Patch_Color_Lookup, "") = "yellow"</formula>
    </cfRule>
    <cfRule type="expression" dxfId="233" priority="56">
      <formula>_xlfn.XLOOKUP($A2&amp;"-"&amp;B$2, Data_Patch_Lookup, Data_Patch_Color_Lookup, "") = "orange"</formula>
    </cfRule>
    <cfRule type="expression" dxfId="232" priority="57">
      <formula>_xlfn.XLOOKUP($A2&amp;"-"&amp;B$2, Data_Patch_Lookup, Data_Patch_Color_Lookup, "") = "green"</formula>
    </cfRule>
    <cfRule type="expression" dxfId="231" priority="58">
      <formula>_xlfn.XLOOKUP($A2&amp;"-"&amp;B$2, Data_Patch_Lookup, Data_Patch_Color_Lookup, "") = "red"</formula>
    </cfRule>
    <cfRule type="expression" dxfId="230" priority="59">
      <formula>_xlfn.XLOOKUP($A2&amp;"-"&amp;B$2, Data_Patch_Lookup, Data_Patch_Color_Lookup, "") = "white"</formula>
    </cfRule>
    <cfRule type="expression" dxfId="229" priority="60">
      <formula>_xlfn.XLOOKUP($A2&amp;"-"&amp;B$2, Data_Patch_Lookup, Data_Patch_Color_Lookup, "") = "blue"</formula>
    </cfRule>
  </conditionalFormatting>
  <conditionalFormatting sqref="B9:I9">
    <cfRule type="expression" dxfId="228" priority="31">
      <formula>_xlfn.XLOOKUP($A7&amp;"-"&amp;B$2, Data_Patch_Lookup, Data_Patch_Color_Lookup, "") = "black"</formula>
    </cfRule>
    <cfRule type="expression" dxfId="227" priority="32">
      <formula>_xlfn.XLOOKUP($A7&amp;"-"&amp;B$2, Data_Patch_Lookup, Data_Patch_Color_Lookup, "") = "purple"</formula>
    </cfRule>
    <cfRule type="expression" dxfId="226" priority="33">
      <formula>_xlfn.XLOOKUP($A7&amp;"-"&amp;B$2, Data_Patch_Lookup, Data_Patch_Color_Lookup, "") = "grey"</formula>
    </cfRule>
    <cfRule type="expression" dxfId="225" priority="34">
      <formula>_xlfn.XLOOKUP($A7&amp;"-"&amp;B$2, Data_Patch_Lookup, Data_Patch_Color_Lookup, "") = "brown"</formula>
    </cfRule>
    <cfRule type="expression" dxfId="224" priority="35">
      <formula>_xlfn.XLOOKUP($A7&amp;"-"&amp;B$2, Data_Patch_Lookup, Data_Patch_Color_Lookup, "") = "yellow"</formula>
    </cfRule>
    <cfRule type="expression" dxfId="223" priority="36">
      <formula>_xlfn.XLOOKUP($A7&amp;"-"&amp;B$2, Data_Patch_Lookup, Data_Patch_Color_Lookup, "") = "orange"</formula>
    </cfRule>
    <cfRule type="expression" dxfId="222" priority="37">
      <formula>_xlfn.XLOOKUP($A7&amp;"-"&amp;B$2, Data_Patch_Lookup, Data_Patch_Color_Lookup, "") = "green"</formula>
    </cfRule>
    <cfRule type="expression" dxfId="221" priority="38">
      <formula>_xlfn.XLOOKUP($A7&amp;"-"&amp;B$2, Data_Patch_Lookup, Data_Patch_Color_Lookup, "") = "red"</formula>
    </cfRule>
    <cfRule type="expression" dxfId="220" priority="39">
      <formula>_xlfn.XLOOKUP($A7&amp;"-"&amp;B$2, Data_Patch_Lookup, Data_Patch_Color_Lookup, "") = "white"</formula>
    </cfRule>
    <cfRule type="expression" dxfId="219" priority="40">
      <formula>_xlfn.XLOOKUP($A7&amp;"-"&amp;B$2, Data_Patch_Lookup, Data_Patch_Color_Lookup, "") = "blue"</formula>
    </cfRule>
  </conditionalFormatting>
  <conditionalFormatting sqref="B14:I14">
    <cfRule type="expression" dxfId="218" priority="21">
      <formula>_xlfn.XLOOKUP($A12&amp;"-"&amp;B$2, Data_Patch_Lookup, Data_Patch_Color_Lookup, "") = "black"</formula>
    </cfRule>
    <cfRule type="expression" dxfId="217" priority="22">
      <formula>_xlfn.XLOOKUP($A12&amp;"-"&amp;B$2, Data_Patch_Lookup, Data_Patch_Color_Lookup, "") = "purple"</formula>
    </cfRule>
    <cfRule type="expression" dxfId="216" priority="23">
      <formula>_xlfn.XLOOKUP($A12&amp;"-"&amp;B$2, Data_Patch_Lookup, Data_Patch_Color_Lookup, "") = "grey"</formula>
    </cfRule>
    <cfRule type="expression" dxfId="215" priority="24">
      <formula>_xlfn.XLOOKUP($A12&amp;"-"&amp;B$2, Data_Patch_Lookup, Data_Patch_Color_Lookup, "") = "brown"</formula>
    </cfRule>
    <cfRule type="expression" dxfId="214" priority="25">
      <formula>_xlfn.XLOOKUP($A12&amp;"-"&amp;B$2, Data_Patch_Lookup, Data_Patch_Color_Lookup, "") = "yellow"</formula>
    </cfRule>
    <cfRule type="expression" dxfId="213" priority="26">
      <formula>_xlfn.XLOOKUP($A12&amp;"-"&amp;B$2, Data_Patch_Lookup, Data_Patch_Color_Lookup, "") = "orange"</formula>
    </cfRule>
    <cfRule type="expression" dxfId="212" priority="27">
      <formula>_xlfn.XLOOKUP($A12&amp;"-"&amp;B$2, Data_Patch_Lookup, Data_Patch_Color_Lookup, "") = "green"</formula>
    </cfRule>
    <cfRule type="expression" dxfId="211" priority="28">
      <formula>_xlfn.XLOOKUP($A12&amp;"-"&amp;B$2, Data_Patch_Lookup, Data_Patch_Color_Lookup, "") = "red"</formula>
    </cfRule>
    <cfRule type="expression" dxfId="210" priority="29">
      <formula>_xlfn.XLOOKUP($A12&amp;"-"&amp;B$2, Data_Patch_Lookup, Data_Patch_Color_Lookup, "") = "white"</formula>
    </cfRule>
    <cfRule type="expression" dxfId="209" priority="30">
      <formula>_xlfn.XLOOKUP($A12&amp;"-"&amp;B$2, Data_Patch_Lookup, Data_Patch_Color_Lookup, "") = "blue"</formula>
    </cfRule>
  </conditionalFormatting>
  <conditionalFormatting sqref="B19:I19">
    <cfRule type="expression" dxfId="208" priority="11">
      <formula>_xlfn.XLOOKUP($A17&amp;"-"&amp;B$2, Data_Patch_Lookup, Data_Patch_Color_Lookup, "") = "black"</formula>
    </cfRule>
    <cfRule type="expression" dxfId="207" priority="12">
      <formula>_xlfn.XLOOKUP($A17&amp;"-"&amp;B$2, Data_Patch_Lookup, Data_Patch_Color_Lookup, "") = "purple"</formula>
    </cfRule>
    <cfRule type="expression" dxfId="206" priority="13">
      <formula>_xlfn.XLOOKUP($A17&amp;"-"&amp;B$2, Data_Patch_Lookup, Data_Patch_Color_Lookup, "") = "grey"</formula>
    </cfRule>
    <cfRule type="expression" dxfId="205" priority="14">
      <formula>_xlfn.XLOOKUP($A17&amp;"-"&amp;B$2, Data_Patch_Lookup, Data_Patch_Color_Lookup, "") = "brown"</formula>
    </cfRule>
    <cfRule type="expression" dxfId="204" priority="15">
      <formula>_xlfn.XLOOKUP($A17&amp;"-"&amp;B$2, Data_Patch_Lookup, Data_Patch_Color_Lookup, "") = "yellow"</formula>
    </cfRule>
    <cfRule type="expression" dxfId="203" priority="16">
      <formula>_xlfn.XLOOKUP($A17&amp;"-"&amp;B$2, Data_Patch_Lookup, Data_Patch_Color_Lookup, "") = "orange"</formula>
    </cfRule>
    <cfRule type="expression" dxfId="202" priority="17">
      <formula>_xlfn.XLOOKUP($A17&amp;"-"&amp;B$2, Data_Patch_Lookup, Data_Patch_Color_Lookup, "") = "green"</formula>
    </cfRule>
    <cfRule type="expression" dxfId="201" priority="18">
      <formula>_xlfn.XLOOKUP($A17&amp;"-"&amp;B$2, Data_Patch_Lookup, Data_Patch_Color_Lookup, "") = "red"</formula>
    </cfRule>
    <cfRule type="expression" dxfId="200" priority="19">
      <formula>_xlfn.XLOOKUP($A17&amp;"-"&amp;B$2, Data_Patch_Lookup, Data_Patch_Color_Lookup, "") = "white"</formula>
    </cfRule>
    <cfRule type="expression" dxfId="199" priority="20">
      <formula>_xlfn.XLOOKUP($A17&amp;"-"&amp;B$2, Data_Patch_Lookup, Data_Patch_Color_Lookup, "") = "blue"</formula>
    </cfRule>
  </conditionalFormatting>
  <conditionalFormatting sqref="B24:I24">
    <cfRule type="expression" dxfId="198" priority="1">
      <formula>_xlfn.XLOOKUP($A22&amp;"-"&amp;B$2, Data_Patch_Lookup, Data_Patch_Color_Lookup, "") = "black"</formula>
    </cfRule>
    <cfRule type="expression" dxfId="197" priority="2">
      <formula>_xlfn.XLOOKUP($A22&amp;"-"&amp;B$2, Data_Patch_Lookup, Data_Patch_Color_Lookup, "") = "purple"</formula>
    </cfRule>
    <cfRule type="expression" dxfId="196" priority="3">
      <formula>_xlfn.XLOOKUP($A22&amp;"-"&amp;B$2, Data_Patch_Lookup, Data_Patch_Color_Lookup, "") = "grey"</formula>
    </cfRule>
    <cfRule type="expression" dxfId="195" priority="4">
      <formula>_xlfn.XLOOKUP($A22&amp;"-"&amp;B$2, Data_Patch_Lookup, Data_Patch_Color_Lookup, "") = "brown"</formula>
    </cfRule>
    <cfRule type="expression" dxfId="194" priority="5">
      <formula>_xlfn.XLOOKUP($A22&amp;"-"&amp;B$2, Data_Patch_Lookup, Data_Patch_Color_Lookup, "") = "yellow"</formula>
    </cfRule>
    <cfRule type="expression" dxfId="193" priority="6">
      <formula>_xlfn.XLOOKUP($A22&amp;"-"&amp;B$2, Data_Patch_Lookup, Data_Patch_Color_Lookup, "") = "orange"</formula>
    </cfRule>
    <cfRule type="expression" dxfId="192" priority="7">
      <formula>_xlfn.XLOOKUP($A22&amp;"-"&amp;B$2, Data_Patch_Lookup, Data_Patch_Color_Lookup, "") = "green"</formula>
    </cfRule>
    <cfRule type="expression" dxfId="191" priority="8">
      <formula>_xlfn.XLOOKUP($A22&amp;"-"&amp;B$2, Data_Patch_Lookup, Data_Patch_Color_Lookup, "") = "red"</formula>
    </cfRule>
    <cfRule type="expression" dxfId="190" priority="9">
      <formula>_xlfn.XLOOKUP($A22&amp;"-"&amp;B$2, Data_Patch_Lookup, Data_Patch_Color_Lookup, "") = "white"</formula>
    </cfRule>
    <cfRule type="expression" dxfId="189" priority="10">
      <formula>_xlfn.XLOOKUP($A22&amp;"-"&amp;B$2, Data_Patch_Lookup, Data_Patch_Color_Lookup, "") = "blue"</formula>
    </cfRule>
  </conditionalFormatting>
  <conditionalFormatting sqref="B30:P30">
    <cfRule type="expression" dxfId="188" priority="126" stopIfTrue="1">
      <formula>_xlfn.XLOOKUP(B30,#REF!,#REF!, "") = "purple"</formula>
    </cfRule>
    <cfRule type="expression" dxfId="187" priority="127" stopIfTrue="1">
      <formula>_xlfn.XLOOKUP(B30,#REF!,#REF!, "") = "brown"</formula>
    </cfRule>
    <cfRule type="expression" dxfId="186" priority="128" stopIfTrue="1">
      <formula>_xlfn.XLOOKUP(B30,#REF!,#REF!, "") = "orange"</formula>
    </cfRule>
    <cfRule type="expression" dxfId="185" priority="129" stopIfTrue="1">
      <formula>_xlfn.XLOOKUP(B30,#REF!,#REF!, "") = "yellow"</formula>
    </cfRule>
    <cfRule type="expression" dxfId="184" priority="130" stopIfTrue="1">
      <formula>_xlfn.XLOOKUP(B30,#REF!,#REF!, "") = "grey"</formula>
    </cfRule>
    <cfRule type="expression" dxfId="183" priority="131" stopIfTrue="1">
      <formula>_xlfn.XLOOKUP(B30,#REF!,#REF!, "") = "green"</formula>
    </cfRule>
    <cfRule type="expression" dxfId="182" priority="132" stopIfTrue="1">
      <formula>_xlfn.XLOOKUP(B30,#REF!,#REF!, "") = "blue"</formula>
    </cfRule>
    <cfRule type="expression" dxfId="181" priority="133" stopIfTrue="1">
      <formula>_xlfn.XLOOKUP(B30,#REF!,#REF!, "") = "red"</formula>
    </cfRule>
    <cfRule type="expression" dxfId="180" priority="134" stopIfTrue="1">
      <formula>_xlfn.XLOOKUP(B30,#REF!,#REF!, "") = "white"</formula>
    </cfRule>
  </conditionalFormatting>
  <conditionalFormatting sqref="N2">
    <cfRule type="cellIs" dxfId="179" priority="61" operator="greaterThan">
      <formula>$N$3</formula>
    </cfRule>
  </conditionalFormatting>
  <pageMargins left="0.7" right="0.7" top="0.75" bottom="0.75" header="0.3" footer="0.3"/>
  <pageSetup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1869-8FCA-4774-AEB0-BC59A7ADEB70}">
  <sheetPr>
    <pageSetUpPr fitToPage="1"/>
  </sheetPr>
  <dimension ref="A1:R45"/>
  <sheetViews>
    <sheetView zoomScaleNormal="100" workbookViewId="0">
      <selection activeCell="B19" sqref="B19:I19"/>
    </sheetView>
  </sheetViews>
  <sheetFormatPr defaultColWidth="9.109375" defaultRowHeight="14.4"/>
  <cols>
    <col min="1" max="1" width="18.77734375" style="1" customWidth="1"/>
    <col min="2" max="12" width="12.6640625" style="1" customWidth="1"/>
    <col min="13" max="13" width="13.6640625" style="1" customWidth="1"/>
    <col min="14" max="16" width="12.6640625" style="1" customWidth="1"/>
    <col min="17" max="17" width="21.6640625" style="1" customWidth="1"/>
    <col min="18" max="16384" width="9.109375" style="1"/>
  </cols>
  <sheetData>
    <row r="1" spans="1:17" ht="75.599999999999994" customHeight="1">
      <c r="A1" s="29" t="s">
        <v>45</v>
      </c>
      <c r="B1" s="29"/>
      <c r="C1" s="29"/>
      <c r="D1" s="20"/>
      <c r="E1" s="20"/>
      <c r="F1" s="20"/>
      <c r="G1" s="20"/>
      <c r="H1" s="20"/>
      <c r="I1" s="20"/>
      <c r="J1" s="21" t="str">
        <f>DATA!$G$2</f>
        <v>Untitled Show</v>
      </c>
      <c r="Q1" s="1" t="e" vm="1">
        <v>#VALUE!</v>
      </c>
    </row>
    <row r="2" spans="1:17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M2" s="17" t="s">
        <v>43</v>
      </c>
      <c r="N2" s="1">
        <f>COUNTA(Data_Patch[Outlet ID])</f>
        <v>144</v>
      </c>
    </row>
    <row r="3" spans="1:17">
      <c r="A3" s="3" t="s">
        <v>14</v>
      </c>
      <c r="B3" s="3">
        <f>_xlfn.XLOOKUP($A$2&amp;"-"&amp;B$2, Data_Patch[Outlet ID], Data_Patch[Universe], "")</f>
        <v>1</v>
      </c>
      <c r="C3" s="3">
        <f>_xlfn.XLOOKUP($A$2&amp;"-"&amp;C$2, Data_Patch[Outlet ID], Data_Patch[Universe], "")</f>
        <v>2</v>
      </c>
      <c r="D3" s="3">
        <f>_xlfn.XLOOKUP($A$2&amp;"-"&amp;D$2, Data_Patch[Outlet ID], Data_Patch[Universe], "")</f>
        <v>0</v>
      </c>
      <c r="E3" s="3">
        <f>_xlfn.XLOOKUP($A$2&amp;"-"&amp;E$2, Data_Patch[Outlet ID], Data_Patch[Universe], "")</f>
        <v>0</v>
      </c>
      <c r="F3" s="3">
        <f>_xlfn.XLOOKUP($A$2&amp;"-"&amp;F$2, Data_Patch[Outlet ID], Data_Patch[Universe], "")</f>
        <v>12</v>
      </c>
      <c r="G3" s="3">
        <f>_xlfn.XLOOKUP($A$2&amp;"-"&amp;G$2, Data_Patch[Outlet ID], Data_Patch[Universe], "")</f>
        <v>13</v>
      </c>
      <c r="H3" s="3">
        <f>_xlfn.XLOOKUP($A$2&amp;"-"&amp;H$2, Data_Patch[Outlet ID], Data_Patch[Universe], "")</f>
        <v>0</v>
      </c>
      <c r="I3" s="3">
        <f>_xlfn.XLOOKUP($A$2&amp;"-"&amp;I$2, Data_Patch[Outlet ID], Data_Patch[Universe], "")</f>
        <v>0</v>
      </c>
      <c r="J3" s="18" t="s">
        <v>1</v>
      </c>
      <c r="M3" s="17" t="s">
        <v>42</v>
      </c>
      <c r="N3" s="1">
        <v>32</v>
      </c>
    </row>
    <row r="4" spans="1:17">
      <c r="A4" s="3" t="s">
        <v>15</v>
      </c>
      <c r="B4" s="3" t="str">
        <f>_xlfn.XLOOKUP($A$2&amp;"-"&amp;B$2, Data_Patch[Outlet ID], Data_Patch[Cable], "")</f>
        <v>DSB1</v>
      </c>
      <c r="C4" s="3" t="str">
        <f>_xlfn.XLOOKUP($A$2&amp;"-"&amp;C$2, Data_Patch[Outlet ID], Data_Patch[Cable], "")</f>
        <v>DSB2</v>
      </c>
      <c r="D4" s="3" t="str">
        <f>_xlfn.XLOOKUP($A$2&amp;"-"&amp;D$2, Data_Patch[Outlet ID], Data_Patch[Cable], "")</f>
        <v/>
      </c>
      <c r="E4" s="3" t="str">
        <f>_xlfn.XLOOKUP($A$2&amp;"-"&amp;E$2, Data_Patch[Outlet ID], Data_Patch[Cable], "")</f>
        <v/>
      </c>
      <c r="F4" s="3" t="str">
        <f>_xlfn.XLOOKUP($A$2&amp;"-"&amp;F$2, Data_Patch[Outlet ID], Data_Patch[Cable], "")</f>
        <v>SLW1</v>
      </c>
      <c r="G4" s="3" t="str">
        <f>_xlfn.XLOOKUP($A$2&amp;"-"&amp;G$2, Data_Patch[Outlet ID], Data_Patch[Cable], "")</f>
        <v>SLW2</v>
      </c>
      <c r="H4" s="3" t="str">
        <f>_xlfn.XLOOKUP($A$2&amp;"-"&amp;H$2, Data_Patch[Outlet ID], Data_Patch[Cable], "")</f>
        <v/>
      </c>
      <c r="I4" s="3" t="str">
        <f>_xlfn.XLOOKUP($A$2&amp;"-"&amp;I$2, Data_Patch[Outlet ID], Data_Patch[Cable], "")</f>
        <v/>
      </c>
      <c r="J4" s="18" t="s">
        <v>16</v>
      </c>
    </row>
    <row r="5" spans="1:17">
      <c r="A5" s="3"/>
      <c r="B5" s="3" t="str">
        <f>_xlfn.XLOOKUP($A$2&amp;"-"&amp;B$2, Data_Patch[Outlet ID], Data_Patch[Type], "")</f>
        <v>Sneak</v>
      </c>
      <c r="C5" s="3" t="str">
        <f>_xlfn.XLOOKUP($A$2&amp;"-"&amp;C$2, Data_Patch[Outlet ID], Data_Patch[Type], "")</f>
        <v>Sneak</v>
      </c>
      <c r="D5" s="3" t="str">
        <f>_xlfn.XLOOKUP($A$2&amp;"-"&amp;D$2, Data_Patch[Outlet ID], Data_Patch[Type], "")</f>
        <v/>
      </c>
      <c r="E5" s="3" t="str">
        <f>_xlfn.XLOOKUP($A$2&amp;"-"&amp;E$2, Data_Patch[Outlet ID], Data_Patch[Type], "")</f>
        <v/>
      </c>
      <c r="F5" s="3" t="str">
        <f>_xlfn.XLOOKUP($A$2&amp;"-"&amp;F$2, Data_Patch[Outlet ID], Data_Patch[Type], "")</f>
        <v>Sneak</v>
      </c>
      <c r="G5" s="3" t="str">
        <f>_xlfn.XLOOKUP($A$2&amp;"-"&amp;G$2, Data_Patch[Outlet ID], Data_Patch[Type], "")</f>
        <v>Sneak</v>
      </c>
      <c r="H5" s="3" t="str">
        <f>_xlfn.XLOOKUP($A$2&amp;"-"&amp;H$2, Data_Patch[Outlet ID], Data_Patch[Type], "")</f>
        <v/>
      </c>
      <c r="I5" s="3" t="str">
        <f>_xlfn.XLOOKUP($A$2&amp;"-"&amp;I$2, Data_Patch[Outlet ID], Data_Patch[Type], "")</f>
        <v/>
      </c>
      <c r="J5" s="18" t="s">
        <v>0</v>
      </c>
    </row>
    <row r="6" spans="1:17">
      <c r="J6" s="18"/>
    </row>
    <row r="7" spans="1:17">
      <c r="A7" s="2" t="s">
        <v>17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18"/>
    </row>
    <row r="8" spans="1:17">
      <c r="A8" s="3" t="s">
        <v>14</v>
      </c>
      <c r="B8" s="3">
        <f>_xlfn.XLOOKUP($A$7&amp;"-"&amp;B$7, Data_Patch[Outlet ID], Data_Patch[Universe], "")</f>
        <v>0</v>
      </c>
      <c r="C8" s="3">
        <f>_xlfn.XLOOKUP($A$7&amp;"-"&amp;C$7, Data_Patch[Outlet ID], Data_Patch[Universe], "")</f>
        <v>0</v>
      </c>
      <c r="D8" s="3">
        <f>_xlfn.XLOOKUP($A$7&amp;"-"&amp;D$7, Data_Patch[Outlet ID], Data_Patch[Universe], "")</f>
        <v>0</v>
      </c>
      <c r="E8" s="3">
        <f>_xlfn.XLOOKUP($A$7&amp;"-"&amp;E$7, Data_Patch[Outlet ID], Data_Patch[Universe], "")</f>
        <v>0</v>
      </c>
      <c r="F8" s="3">
        <f>_xlfn.XLOOKUP($A$7&amp;"-"&amp;F$7, Data_Patch[Outlet ID], Data_Patch[Universe], "")</f>
        <v>0</v>
      </c>
      <c r="G8" s="3">
        <f>_xlfn.XLOOKUP($A$7&amp;"-"&amp;G$7, Data_Patch[Outlet ID], Data_Patch[Universe], "")</f>
        <v>0</v>
      </c>
      <c r="H8" s="3">
        <f>_xlfn.XLOOKUP($A$7&amp;"-"&amp;H$7, Data_Patch[Outlet ID], Data_Patch[Universe], "")</f>
        <v>0</v>
      </c>
      <c r="I8" s="3">
        <f>_xlfn.XLOOKUP($A$7&amp;"-"&amp;I$7, Data_Patch[Outlet ID], Data_Patch[Universe], "")</f>
        <v>0</v>
      </c>
      <c r="J8" s="18" t="s">
        <v>1</v>
      </c>
    </row>
    <row r="9" spans="1:17">
      <c r="A9" s="3" t="s">
        <v>15</v>
      </c>
      <c r="B9" s="3" t="str">
        <f>_xlfn.XLOOKUP($A$7&amp;"-"&amp;B$7, Data_Patch[Outlet ID], Data_Patch[Cable], "")</f>
        <v/>
      </c>
      <c r="C9" s="3" t="str">
        <f>_xlfn.XLOOKUP($A$7&amp;"-"&amp;C$7, Data_Patch[Outlet ID], Data_Patch[Cable], "")</f>
        <v/>
      </c>
      <c r="D9" s="3" t="str">
        <f>_xlfn.XLOOKUP($A$7&amp;"-"&amp;D$7, Data_Patch[Outlet ID], Data_Patch[Cable], "")</f>
        <v/>
      </c>
      <c r="E9" s="3" t="str">
        <f>_xlfn.XLOOKUP($A$7&amp;"-"&amp;E$7, Data_Patch[Outlet ID], Data_Patch[Cable], "")</f>
        <v/>
      </c>
      <c r="F9" s="3" t="str">
        <f>_xlfn.XLOOKUP($A$7&amp;"-"&amp;F$7, Data_Patch[Outlet ID], Data_Patch[Cable], "")</f>
        <v/>
      </c>
      <c r="G9" s="3" t="str">
        <f>_xlfn.XLOOKUP($A$7&amp;"-"&amp;G$7, Data_Patch[Outlet ID], Data_Patch[Cable], "")</f>
        <v/>
      </c>
      <c r="H9" s="3" t="str">
        <f>_xlfn.XLOOKUP($A$7&amp;"-"&amp;H$7, Data_Patch[Outlet ID], Data_Patch[Cable], "")</f>
        <v/>
      </c>
      <c r="I9" s="3" t="str">
        <f>_xlfn.XLOOKUP($A$7&amp;"-"&amp;I$7, Data_Patch[Outlet ID], Data_Patch[Cable], "")</f>
        <v/>
      </c>
      <c r="J9" s="18" t="s">
        <v>16</v>
      </c>
    </row>
    <row r="10" spans="1:17">
      <c r="A10" s="3"/>
      <c r="B10" s="3" t="str">
        <f>_xlfn.XLOOKUP($A$7&amp;"-"&amp;B$7, Data_Patch[Outlet ID], Data_Patch[Type], "")</f>
        <v/>
      </c>
      <c r="C10" s="3" t="str">
        <f>_xlfn.XLOOKUP($A$7&amp;"-"&amp;C$7, Data_Patch[Outlet ID], Data_Patch[Type], "")</f>
        <v/>
      </c>
      <c r="D10" s="3" t="str">
        <f>_xlfn.XLOOKUP($A$7&amp;"-"&amp;D$7, Data_Patch[Outlet ID], Data_Patch[Type], "")</f>
        <v/>
      </c>
      <c r="E10" s="3" t="str">
        <f>_xlfn.XLOOKUP($A$7&amp;"-"&amp;E$7, Data_Patch[Outlet ID], Data_Patch[Type], "")</f>
        <v/>
      </c>
      <c r="F10" s="3" t="str">
        <f>_xlfn.XLOOKUP($A$7&amp;"-"&amp;F$7, Data_Patch[Outlet ID], Data_Patch[Type], "")</f>
        <v/>
      </c>
      <c r="G10" s="3" t="str">
        <f>_xlfn.XLOOKUP($A$7&amp;"-"&amp;G$7, Data_Patch[Outlet ID], Data_Patch[Type], "")</f>
        <v/>
      </c>
      <c r="H10" s="3" t="str">
        <f>_xlfn.XLOOKUP($A$7&amp;"-"&amp;H$7, Data_Patch[Outlet ID], Data_Patch[Type], "")</f>
        <v/>
      </c>
      <c r="I10" s="3" t="str">
        <f>_xlfn.XLOOKUP($A$7&amp;"-"&amp;I$7, Data_Patch[Outlet ID], Data_Patch[Type], "")</f>
        <v/>
      </c>
      <c r="J10" s="18" t="s">
        <v>0</v>
      </c>
    </row>
    <row r="11" spans="1:17">
      <c r="J11" s="18"/>
      <c r="N11" s="34"/>
      <c r="O11" s="34"/>
    </row>
    <row r="12" spans="1:17">
      <c r="A12" s="2" t="s">
        <v>18</v>
      </c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  <c r="G12" s="3" t="s">
        <v>11</v>
      </c>
      <c r="H12" s="3" t="s">
        <v>12</v>
      </c>
      <c r="I12" s="3" t="s">
        <v>13</v>
      </c>
      <c r="J12" s="18"/>
      <c r="N12" s="14"/>
      <c r="O12" s="15"/>
    </row>
    <row r="13" spans="1:17">
      <c r="A13" s="3" t="s">
        <v>14</v>
      </c>
      <c r="B13" s="3">
        <f>_xlfn.XLOOKUP($A$12&amp;"-"&amp;B$12, Data_Patch[Outlet ID], Data_Patch[Universe], "")</f>
        <v>0</v>
      </c>
      <c r="C13" s="3">
        <f>_xlfn.XLOOKUP($A$12&amp;"-"&amp;C$12, Data_Patch[Outlet ID], Data_Patch[Universe], "")</f>
        <v>0</v>
      </c>
      <c r="D13" s="3">
        <f>_xlfn.XLOOKUP($A$12&amp;"-"&amp;D$12, Data_Patch[Outlet ID], Data_Patch[Universe], "")</f>
        <v>0</v>
      </c>
      <c r="E13" s="3">
        <f>_xlfn.XLOOKUP($A$12&amp;"-"&amp;E$12, Data_Patch[Outlet ID], Data_Patch[Universe], "")</f>
        <v>0</v>
      </c>
      <c r="F13" s="3">
        <f>_xlfn.XLOOKUP($A$12&amp;"-"&amp;F$12, Data_Patch[Outlet ID], Data_Patch[Universe], "")</f>
        <v>0</v>
      </c>
      <c r="G13" s="3">
        <f>_xlfn.XLOOKUP($A$12&amp;"-"&amp;G$12, Data_Patch[Outlet ID], Data_Patch[Universe], "")</f>
        <v>0</v>
      </c>
      <c r="H13" s="3">
        <f>_xlfn.XLOOKUP($A$12&amp;"-"&amp;H$12, Data_Patch[Outlet ID], Data_Patch[Universe], "")</f>
        <v>0</v>
      </c>
      <c r="I13" s="3">
        <f>_xlfn.XLOOKUP($A$12&amp;"-"&amp;I$12, Data_Patch[Outlet ID], Data_Patch[Universe], "")</f>
        <v>0</v>
      </c>
      <c r="J13" s="18" t="s">
        <v>1</v>
      </c>
    </row>
    <row r="14" spans="1:17">
      <c r="A14" s="3" t="s">
        <v>15</v>
      </c>
      <c r="B14" s="3" t="str">
        <f>_xlfn.XLOOKUP($A$12&amp;"-"&amp;B$12, Data_Patch[Outlet ID], Data_Patch[Cable], "")</f>
        <v/>
      </c>
      <c r="C14" s="3" t="str">
        <f>_xlfn.XLOOKUP($A$12&amp;"-"&amp;C$12, Data_Patch[Outlet ID], Data_Patch[Cable], "")</f>
        <v/>
      </c>
      <c r="D14" s="3" t="str">
        <f>_xlfn.XLOOKUP($A$12&amp;"-"&amp;D$12, Data_Patch[Outlet ID], Data_Patch[Cable], "")</f>
        <v/>
      </c>
      <c r="E14" s="3" t="str">
        <f>_xlfn.XLOOKUP($A$12&amp;"-"&amp;E$12, Data_Patch[Outlet ID], Data_Patch[Cable], "")</f>
        <v/>
      </c>
      <c r="F14" s="3" t="str">
        <f>_xlfn.XLOOKUP($A$12&amp;"-"&amp;F$12, Data_Patch[Outlet ID], Data_Patch[Cable], "")</f>
        <v/>
      </c>
      <c r="G14" s="3" t="str">
        <f>_xlfn.XLOOKUP($A$12&amp;"-"&amp;G$12, Data_Patch[Outlet ID], Data_Patch[Cable], "")</f>
        <v/>
      </c>
      <c r="H14" s="3" t="str">
        <f>_xlfn.XLOOKUP($A$12&amp;"-"&amp;H$12, Data_Patch[Outlet ID], Data_Patch[Cable], "")</f>
        <v/>
      </c>
      <c r="I14" s="3" t="str">
        <f>_xlfn.XLOOKUP($A$12&amp;"-"&amp;I$12, Data_Patch[Outlet ID], Data_Patch[Cable], "")</f>
        <v/>
      </c>
      <c r="J14" s="18" t="s">
        <v>16</v>
      </c>
    </row>
    <row r="15" spans="1:17">
      <c r="A15" s="3"/>
      <c r="B15" s="3" t="str">
        <f>_xlfn.XLOOKUP($A$12&amp;"-"&amp;B$12, Data_Patch[Outlet ID], Data_Patch[Type], "")</f>
        <v/>
      </c>
      <c r="C15" s="3" t="str">
        <f>_xlfn.XLOOKUP($A$12&amp;"-"&amp;C$12, Data_Patch[Outlet ID], Data_Patch[Type], "")</f>
        <v/>
      </c>
      <c r="D15" s="3" t="str">
        <f>_xlfn.XLOOKUP($A$12&amp;"-"&amp;D$12, Data_Patch[Outlet ID], Data_Patch[Type], "")</f>
        <v/>
      </c>
      <c r="E15" s="3" t="str">
        <f>_xlfn.XLOOKUP($A$12&amp;"-"&amp;E$12, Data_Patch[Outlet ID], Data_Patch[Type], "")</f>
        <v/>
      </c>
      <c r="F15" s="3" t="str">
        <f>_xlfn.XLOOKUP($A$12&amp;"-"&amp;F$12, Data_Patch[Outlet ID], Data_Patch[Type], "")</f>
        <v/>
      </c>
      <c r="G15" s="3" t="str">
        <f>_xlfn.XLOOKUP($A$12&amp;"-"&amp;G$12, Data_Patch[Outlet ID], Data_Patch[Type], "")</f>
        <v/>
      </c>
      <c r="H15" s="3" t="str">
        <f>_xlfn.XLOOKUP($A$12&amp;"-"&amp;H$12, Data_Patch[Outlet ID], Data_Patch[Type], "")</f>
        <v/>
      </c>
      <c r="I15" s="3" t="str">
        <f>_xlfn.XLOOKUP($A$12&amp;"-"&amp;I$12, Data_Patch[Outlet ID], Data_Patch[Type], "")</f>
        <v/>
      </c>
      <c r="J15" s="18" t="s">
        <v>0</v>
      </c>
    </row>
    <row r="16" spans="1:17">
      <c r="J16" s="18"/>
    </row>
    <row r="17" spans="1:18">
      <c r="A17" s="2" t="s">
        <v>19</v>
      </c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  <c r="G17" s="3" t="s">
        <v>11</v>
      </c>
      <c r="H17" s="3" t="s">
        <v>12</v>
      </c>
      <c r="I17" s="3" t="s">
        <v>13</v>
      </c>
      <c r="J17" s="18"/>
    </row>
    <row r="18" spans="1:18">
      <c r="A18" s="3" t="s">
        <v>14</v>
      </c>
      <c r="B18" s="3">
        <f>_xlfn.XLOOKUP($A$17&amp;"-"&amp;B$17, Data_Patch[Outlet ID], Data_Patch[Universe], "")</f>
        <v>0</v>
      </c>
      <c r="C18" s="3">
        <f>_xlfn.XLOOKUP($A$17&amp;"-"&amp;C$17, Data_Patch[Outlet ID], Data_Patch[Universe], "")</f>
        <v>0</v>
      </c>
      <c r="D18" s="3">
        <f>_xlfn.XLOOKUP($A$17&amp;"-"&amp;D$17, Data_Patch[Outlet ID], Data_Patch[Universe], "")</f>
        <v>0</v>
      </c>
      <c r="E18" s="3">
        <f>_xlfn.XLOOKUP($A$17&amp;"-"&amp;E$17, Data_Patch[Outlet ID], Data_Patch[Universe], "")</f>
        <v>0</v>
      </c>
      <c r="F18" s="3">
        <f>_xlfn.XLOOKUP($A$17&amp;"-"&amp;F$17, Data_Patch[Outlet ID], Data_Patch[Universe], "")</f>
        <v>0</v>
      </c>
      <c r="G18" s="3">
        <f>_xlfn.XLOOKUP($A$17&amp;"-"&amp;G$17, Data_Patch[Outlet ID], Data_Patch[Universe], "")</f>
        <v>0</v>
      </c>
      <c r="H18" s="3">
        <f>_xlfn.XLOOKUP($A$17&amp;"-"&amp;H$17, Data_Patch[Outlet ID], Data_Patch[Universe], "")</f>
        <v>0</v>
      </c>
      <c r="I18" s="3">
        <f>_xlfn.XLOOKUP($A$17&amp;"-"&amp;I$17, Data_Patch[Outlet ID], Data_Patch[Universe], "")</f>
        <v>0</v>
      </c>
      <c r="J18" s="18" t="s">
        <v>1</v>
      </c>
    </row>
    <row r="19" spans="1:18">
      <c r="A19" s="3" t="s">
        <v>15</v>
      </c>
      <c r="B19" s="3" t="str">
        <f>_xlfn.XLOOKUP($A$17&amp;"-"&amp;B$17, Data_Patch[Outlet ID], Data_Patch[Cable], "")</f>
        <v/>
      </c>
      <c r="C19" s="3" t="str">
        <f>_xlfn.XLOOKUP($A$17&amp;"-"&amp;C$17, Data_Patch[Outlet ID], Data_Patch[Cable], "")</f>
        <v/>
      </c>
      <c r="D19" s="3" t="str">
        <f>_xlfn.XLOOKUP($A$17&amp;"-"&amp;D$17, Data_Patch[Outlet ID], Data_Patch[Cable], "")</f>
        <v/>
      </c>
      <c r="E19" s="3" t="str">
        <f>_xlfn.XLOOKUP($A$17&amp;"-"&amp;E$17, Data_Patch[Outlet ID], Data_Patch[Cable], "")</f>
        <v/>
      </c>
      <c r="F19" s="3" t="str">
        <f>_xlfn.XLOOKUP($A$17&amp;"-"&amp;F$17, Data_Patch[Outlet ID], Data_Patch[Cable], "")</f>
        <v/>
      </c>
      <c r="G19" s="3" t="str">
        <f>_xlfn.XLOOKUP($A$17&amp;"-"&amp;G$17, Data_Patch[Outlet ID], Data_Patch[Cable], "")</f>
        <v/>
      </c>
      <c r="H19" s="3" t="str">
        <f>_xlfn.XLOOKUP($A$17&amp;"-"&amp;H$17, Data_Patch[Outlet ID], Data_Patch[Cable], "")</f>
        <v/>
      </c>
      <c r="I19" s="3" t="str">
        <f>_xlfn.XLOOKUP($A$17&amp;"-"&amp;I$17, Data_Patch[Outlet ID], Data_Patch[Cable], "")</f>
        <v/>
      </c>
      <c r="J19" s="18" t="s">
        <v>16</v>
      </c>
    </row>
    <row r="20" spans="1:18">
      <c r="A20" s="3"/>
      <c r="B20" s="3" t="str">
        <f>_xlfn.XLOOKUP($A$17&amp;"-"&amp;B$17, Data_Patch[Outlet ID], Data_Patch[Type], "")</f>
        <v/>
      </c>
      <c r="C20" s="3" t="str">
        <f>_xlfn.XLOOKUP($A$17&amp;"-"&amp;C$17, Data_Patch[Outlet ID], Data_Patch[Type], "")</f>
        <v/>
      </c>
      <c r="D20" s="3" t="str">
        <f>_xlfn.XLOOKUP($A$17&amp;"-"&amp;D$17, Data_Patch[Outlet ID], Data_Patch[Type], "")</f>
        <v/>
      </c>
      <c r="E20" s="3" t="str">
        <f>_xlfn.XLOOKUP($A$17&amp;"-"&amp;E$17, Data_Patch[Outlet ID], Data_Patch[Type], "")</f>
        <v/>
      </c>
      <c r="F20" s="3" t="str">
        <f>_xlfn.XLOOKUP($A$17&amp;"-"&amp;F$17, Data_Patch[Outlet ID], Data_Patch[Type], "")</f>
        <v/>
      </c>
      <c r="G20" s="3" t="str">
        <f>_xlfn.XLOOKUP($A$17&amp;"-"&amp;G$17, Data_Patch[Outlet ID], Data_Patch[Type], "")</f>
        <v/>
      </c>
      <c r="H20" s="3" t="str">
        <f>_xlfn.XLOOKUP($A$17&amp;"-"&amp;H$17, Data_Patch[Outlet ID], Data_Patch[Type], "")</f>
        <v/>
      </c>
      <c r="I20" s="3" t="str">
        <f>_xlfn.XLOOKUP($A$17&amp;"-"&amp;I$17, Data_Patch[Outlet ID], Data_Patch[Type], "")</f>
        <v/>
      </c>
      <c r="J20" s="18" t="s">
        <v>0</v>
      </c>
    </row>
    <row r="21" spans="1:18">
      <c r="J21" s="18"/>
    </row>
    <row r="22" spans="1:18" ht="6" customHeight="1">
      <c r="B22" s="30"/>
      <c r="C22" s="31"/>
      <c r="D22" s="32"/>
      <c r="E22" s="33"/>
      <c r="F22" s="35"/>
      <c r="G22" s="36"/>
      <c r="H22" s="37"/>
      <c r="I22" s="38"/>
      <c r="J22"/>
      <c r="K22"/>
      <c r="L22"/>
      <c r="M22"/>
      <c r="N22"/>
      <c r="O22"/>
      <c r="P22"/>
      <c r="Q22"/>
      <c r="R22"/>
    </row>
    <row r="23" spans="1:18" ht="6" customHeight="1">
      <c r="B23" s="30"/>
      <c r="C23" s="31"/>
      <c r="D23" s="32"/>
      <c r="E23" s="33"/>
      <c r="F23" s="35"/>
      <c r="G23" s="36"/>
      <c r="H23" s="37"/>
      <c r="I23" s="38"/>
      <c r="J23"/>
      <c r="K23"/>
      <c r="L23"/>
      <c r="M23"/>
      <c r="N23"/>
      <c r="O23"/>
      <c r="P23"/>
      <c r="Q23"/>
      <c r="R23"/>
    </row>
    <row r="24" spans="1:18" ht="15" hidden="1" customHeight="1">
      <c r="B24" s="3">
        <v>1</v>
      </c>
      <c r="C24" s="3">
        <v>2</v>
      </c>
      <c r="D24" s="1">
        <v>3</v>
      </c>
      <c r="E24" s="1">
        <v>4</v>
      </c>
      <c r="F24" s="1">
        <v>5</v>
      </c>
      <c r="G24" s="1">
        <v>6</v>
      </c>
      <c r="H24" s="1">
        <v>7</v>
      </c>
      <c r="I24" s="1">
        <v>8</v>
      </c>
      <c r="J24"/>
      <c r="K24"/>
      <c r="L24"/>
      <c r="M24"/>
      <c r="N24"/>
      <c r="O24"/>
      <c r="P24"/>
      <c r="Q24"/>
      <c r="R24"/>
    </row>
    <row r="25" spans="1:18">
      <c r="A25" s="6" t="s">
        <v>21</v>
      </c>
      <c r="B25" s="3" t="str">
        <f>_xlfn.XLOOKUP(B24, Data_Multis[Multi ID], Data_Multis[Multi Name], "")</f>
        <v>DSB1</v>
      </c>
      <c r="C25" s="3" t="str">
        <f>_xlfn.XLOOKUP(C24, Data_Multis[Multi ID], Data_Multis[Multi Name], "")</f>
        <v>SLW1</v>
      </c>
      <c r="D25" s="3" t="str">
        <f>_xlfn.XLOOKUP(D24, Data_Multis[Multi ID], Data_Multis[Multi Name], "")</f>
        <v>THR1</v>
      </c>
      <c r="E25" s="3" t="str">
        <f>_xlfn.XLOOKUP(E24, Data_Multis[Multi ID], Data_Multis[Multi Name], "")</f>
        <v>THR2</v>
      </c>
      <c r="F25" s="3" t="str">
        <f>_xlfn.XLOOKUP(F24, Data_Multis[Multi ID], Data_Multis[Multi Name], "")</f>
        <v>DSL1</v>
      </c>
      <c r="G25" s="3" t="str">
        <f>_xlfn.XLOOKUP(G24, Data_Multis[Multi ID], Data_Multis[Multi Name], "")</f>
        <v>SLWF1</v>
      </c>
      <c r="H25" s="3" t="str">
        <f>_xlfn.XLOOKUP(H24, Data_Multis[Multi ID], Data_Multis[Multi Name], "")</f>
        <v>SRL1</v>
      </c>
      <c r="I25" s="3" t="str">
        <f>_xlfn.XLOOKUP(I24, Data_Multis[Multi ID], Data_Multis[Multi Name], "")</f>
        <v>SLL1</v>
      </c>
      <c r="J25"/>
      <c r="K25"/>
      <c r="L25"/>
      <c r="M25"/>
      <c r="N25"/>
      <c r="O25"/>
      <c r="P25"/>
      <c r="Q25"/>
      <c r="R25"/>
    </row>
    <row r="26" spans="1:18">
      <c r="A26" s="4" t="s">
        <v>23</v>
      </c>
      <c r="B26" s="3" t="str">
        <f>_xlfn.XLOOKUP(B24, Data_Multis[Multi ID], Data_Multis[Line 1], "")</f>
        <v>DSB1 U1</v>
      </c>
      <c r="C26" s="3" t="str">
        <f>_xlfn.XLOOKUP(C24, Data_Multis[Multi ID], Data_Multis[Line 1], "")</f>
        <v>SLW1 U12</v>
      </c>
      <c r="D26" s="3" t="str">
        <f>_xlfn.XLOOKUP(D24, Data_Multis[Multi ID], Data_Multis[Line 1], "")</f>
        <v>THR1 U17</v>
      </c>
      <c r="E26" s="3" t="str">
        <f>_xlfn.XLOOKUP(E24, Data_Multis[Multi ID], Data_Multis[Line 1], "")</f>
        <v>THR5 U21</v>
      </c>
      <c r="F26" s="3" t="str">
        <f>_xlfn.XLOOKUP(F24, Data_Multis[Multi ID], Data_Multis[Line 1], "")</f>
        <v>DSL1 U22</v>
      </c>
      <c r="G26" s="3" t="str">
        <f>_xlfn.XLOOKUP(G24, Data_Multis[Multi ID], Data_Multis[Line 1], "")</f>
        <v>SLWF1 U24</v>
      </c>
      <c r="H26" s="3" t="str">
        <f>_xlfn.XLOOKUP(H24, Data_Multis[Multi ID], Data_Multis[Line 1], "")</f>
        <v>SRL1 U25</v>
      </c>
      <c r="I26" s="3" t="str">
        <f>_xlfn.XLOOKUP(I24, Data_Multis[Multi ID], Data_Multis[Line 1], "")</f>
        <v>SLL1 U29</v>
      </c>
      <c r="J26"/>
      <c r="K26"/>
      <c r="L26"/>
      <c r="M26"/>
      <c r="N26"/>
      <c r="O26"/>
      <c r="P26"/>
      <c r="Q26"/>
      <c r="R26"/>
    </row>
    <row r="27" spans="1:18">
      <c r="A27" s="4" t="s">
        <v>24</v>
      </c>
      <c r="B27" s="3" t="str">
        <f>_xlfn.XLOOKUP(B24, Data_Multis[Multi ID], Data_Multis[Line 2], "")</f>
        <v>DSB2 U2</v>
      </c>
      <c r="C27" s="3" t="str">
        <f>_xlfn.XLOOKUP(C24, Data_Multis[Multi ID], Data_Multis[Line 2], "")</f>
        <v>SLW2 U13</v>
      </c>
      <c r="D27" s="3" t="str">
        <f>_xlfn.XLOOKUP(D24, Data_Multis[Multi ID], Data_Multis[Line 2], "")</f>
        <v>THR2 U18</v>
      </c>
      <c r="E27" s="3" t="str">
        <f>_xlfn.XLOOKUP(E24, Data_Multis[Multi ID], Data_Multis[Line 2], "")</f>
        <v/>
      </c>
      <c r="F27" s="3" t="str">
        <f>_xlfn.XLOOKUP(F24, Data_Multis[Multi ID], Data_Multis[Line 2], "")</f>
        <v>DSL2 U23</v>
      </c>
      <c r="G27" s="3" t="str">
        <f>_xlfn.XLOOKUP(G24, Data_Multis[Multi ID], Data_Multis[Line 2], "")</f>
        <v/>
      </c>
      <c r="H27" s="3" t="str">
        <f>_xlfn.XLOOKUP(H24, Data_Multis[Multi ID], Data_Multis[Line 2], "")</f>
        <v>SRL2 U26</v>
      </c>
      <c r="I27" s="3" t="str">
        <f>_xlfn.XLOOKUP(I24, Data_Multis[Multi ID], Data_Multis[Line 2], "")</f>
        <v>SLL2 U30</v>
      </c>
      <c r="J27"/>
      <c r="K27"/>
      <c r="L27"/>
      <c r="M27"/>
      <c r="N27"/>
      <c r="O27"/>
      <c r="P27"/>
      <c r="Q27"/>
      <c r="R27"/>
    </row>
    <row r="28" spans="1:18">
      <c r="A28" s="4" t="s">
        <v>25</v>
      </c>
      <c r="B28" s="3" t="str">
        <f>_xlfn.XLOOKUP(B24, Data_Multis[Multi ID], Data_Multis[Line 3], "")</f>
        <v/>
      </c>
      <c r="C28" s="3" t="str">
        <f>_xlfn.XLOOKUP(C24, Data_Multis[Multi ID], Data_Multis[Line 3], "")</f>
        <v/>
      </c>
      <c r="D28" s="3" t="str">
        <f>_xlfn.XLOOKUP(D24, Data_Multis[Multi ID], Data_Multis[Line 3], "")</f>
        <v>THR3 U19</v>
      </c>
      <c r="E28" s="3" t="str">
        <f>_xlfn.XLOOKUP(E24, Data_Multis[Multi ID], Data_Multis[Line 3], "")</f>
        <v/>
      </c>
      <c r="F28" s="3" t="str">
        <f>_xlfn.XLOOKUP(F24, Data_Multis[Multi ID], Data_Multis[Line 3], "")</f>
        <v/>
      </c>
      <c r="G28" s="3" t="str">
        <f>_xlfn.XLOOKUP(G24, Data_Multis[Multi ID], Data_Multis[Line 3], "")</f>
        <v/>
      </c>
      <c r="H28" s="3" t="str">
        <f>_xlfn.XLOOKUP(H24, Data_Multis[Multi ID], Data_Multis[Line 3], "")</f>
        <v>SRL3 U27</v>
      </c>
      <c r="I28" s="3" t="str">
        <f>_xlfn.XLOOKUP(I24, Data_Multis[Multi ID], Data_Multis[Line 3], "")</f>
        <v>SLL3 U31</v>
      </c>
      <c r="J28"/>
      <c r="K28"/>
      <c r="L28"/>
      <c r="M28"/>
      <c r="N28"/>
      <c r="O28"/>
      <c r="P28"/>
      <c r="Q28"/>
      <c r="R28"/>
    </row>
    <row r="29" spans="1:18">
      <c r="A29" s="4" t="s">
        <v>26</v>
      </c>
      <c r="B29" s="3" t="str">
        <f>_xlfn.XLOOKUP(B24, Data_Multis[Multi ID], Data_Multis[Line 4], "")</f>
        <v/>
      </c>
      <c r="C29" s="3" t="str">
        <f>_xlfn.XLOOKUP(C24, Data_Multis[Multi ID], Data_Multis[Line 4], "")</f>
        <v/>
      </c>
      <c r="D29" s="3" t="str">
        <f>_xlfn.XLOOKUP(D24, Data_Multis[Multi ID], Data_Multis[Line 4], "")</f>
        <v>THR4 U20</v>
      </c>
      <c r="E29" s="3" t="str">
        <f>_xlfn.XLOOKUP(E24, Data_Multis[Multi ID], Data_Multis[Line 4], "")</f>
        <v/>
      </c>
      <c r="F29" s="3" t="str">
        <f>_xlfn.XLOOKUP(F24, Data_Multis[Multi ID], Data_Multis[Line 4], "")</f>
        <v/>
      </c>
      <c r="G29" s="3" t="str">
        <f>_xlfn.XLOOKUP(G24, Data_Multis[Multi ID], Data_Multis[Line 4], "")</f>
        <v/>
      </c>
      <c r="H29" s="3" t="str">
        <f>_xlfn.XLOOKUP(H24, Data_Multis[Multi ID], Data_Multis[Line 4], "")</f>
        <v>SRL4 U28</v>
      </c>
      <c r="I29" s="3" t="str">
        <f>_xlfn.XLOOKUP(I24, Data_Multis[Multi ID], Data_Multis[Line 4], "")</f>
        <v>SLL4 U32</v>
      </c>
      <c r="J29"/>
      <c r="K29"/>
      <c r="L29"/>
      <c r="M29"/>
      <c r="N29"/>
      <c r="O29"/>
      <c r="P29"/>
      <c r="Q29"/>
      <c r="R29"/>
    </row>
    <row r="31" spans="1:18">
      <c r="A31" s="4" t="s">
        <v>27</v>
      </c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  <c r="I31" s="5" t="s">
        <v>13</v>
      </c>
      <c r="J31" s="18"/>
    </row>
    <row r="32" spans="1:18">
      <c r="A32" s="3"/>
      <c r="B32" s="5"/>
      <c r="C32" s="5"/>
      <c r="D32" s="5"/>
      <c r="E32" s="5"/>
      <c r="F32" s="5"/>
      <c r="G32" s="5"/>
      <c r="H32" s="5"/>
      <c r="I32" s="5"/>
      <c r="J32" s="18" t="s">
        <v>16</v>
      </c>
    </row>
    <row r="33" spans="1:10">
      <c r="B33" s="3"/>
      <c r="C33" s="3"/>
      <c r="D33" s="3"/>
      <c r="E33" s="3"/>
      <c r="F33" s="3"/>
      <c r="G33" s="3"/>
      <c r="H33" s="3"/>
      <c r="I33" s="3"/>
      <c r="J33" s="18" t="s">
        <v>0</v>
      </c>
    </row>
    <row r="34" spans="1:10">
      <c r="J34" s="18"/>
    </row>
    <row r="35" spans="1:10">
      <c r="A35" s="4" t="s">
        <v>27</v>
      </c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  <c r="I35" s="5" t="s">
        <v>13</v>
      </c>
      <c r="J35" s="18"/>
    </row>
    <row r="36" spans="1:10">
      <c r="A36" s="3"/>
      <c r="B36" s="5"/>
      <c r="C36" s="5"/>
      <c r="D36" s="5"/>
      <c r="E36" s="5"/>
      <c r="F36" s="5"/>
      <c r="G36" s="5"/>
      <c r="H36" s="5"/>
      <c r="I36" s="5"/>
      <c r="J36" s="18" t="s">
        <v>16</v>
      </c>
    </row>
    <row r="37" spans="1:10">
      <c r="B37" s="3"/>
      <c r="C37" s="3"/>
      <c r="D37" s="3"/>
      <c r="E37" s="3"/>
      <c r="F37" s="3"/>
      <c r="G37" s="3"/>
      <c r="H37" s="3"/>
      <c r="I37" s="3"/>
      <c r="J37" s="18" t="s">
        <v>0</v>
      </c>
    </row>
    <row r="38" spans="1:10">
      <c r="J38" s="18"/>
    </row>
    <row r="39" spans="1:10">
      <c r="A39" s="4" t="s">
        <v>27</v>
      </c>
      <c r="B39" s="5" t="s">
        <v>6</v>
      </c>
      <c r="C39" s="5" t="s">
        <v>7</v>
      </c>
      <c r="D39" s="5" t="s">
        <v>8</v>
      </c>
      <c r="E39" s="5" t="s">
        <v>9</v>
      </c>
      <c r="F39" s="5" t="s">
        <v>10</v>
      </c>
      <c r="G39" s="5" t="s">
        <v>11</v>
      </c>
      <c r="H39" s="5" t="s">
        <v>12</v>
      </c>
      <c r="I39" s="5" t="s">
        <v>13</v>
      </c>
      <c r="J39" s="18"/>
    </row>
    <row r="40" spans="1:10">
      <c r="A40" s="3"/>
      <c r="B40" s="5"/>
      <c r="C40" s="5"/>
      <c r="D40" s="5"/>
      <c r="E40" s="5"/>
      <c r="F40" s="5"/>
      <c r="G40" s="5"/>
      <c r="H40" s="5"/>
      <c r="I40" s="5"/>
      <c r="J40" s="18" t="s">
        <v>16</v>
      </c>
    </row>
    <row r="41" spans="1:10">
      <c r="B41" s="3"/>
      <c r="C41" s="3"/>
      <c r="D41" s="3"/>
      <c r="E41" s="3"/>
      <c r="F41" s="3"/>
      <c r="G41" s="3"/>
      <c r="H41" s="3"/>
      <c r="I41" s="3"/>
      <c r="J41" s="18" t="s">
        <v>0</v>
      </c>
    </row>
    <row r="42" spans="1:10">
      <c r="J42" s="18"/>
    </row>
    <row r="43" spans="1:10">
      <c r="A43" s="4" t="s">
        <v>27</v>
      </c>
      <c r="B43" s="5" t="s">
        <v>6</v>
      </c>
      <c r="C43" s="5" t="s">
        <v>7</v>
      </c>
      <c r="D43" s="5" t="s">
        <v>8</v>
      </c>
      <c r="E43" s="5" t="s">
        <v>9</v>
      </c>
      <c r="F43" s="5" t="s">
        <v>10</v>
      </c>
      <c r="G43" s="5" t="s">
        <v>11</v>
      </c>
      <c r="H43" s="5" t="s">
        <v>12</v>
      </c>
      <c r="I43" s="5" t="s">
        <v>13</v>
      </c>
      <c r="J43" s="18"/>
    </row>
    <row r="44" spans="1:10">
      <c r="A44" s="3"/>
      <c r="B44" s="5"/>
      <c r="C44" s="5"/>
      <c r="D44" s="5"/>
      <c r="E44" s="5"/>
      <c r="F44" s="5"/>
      <c r="G44" s="5"/>
      <c r="H44" s="5"/>
      <c r="I44" s="5"/>
      <c r="J44" s="18" t="s">
        <v>16</v>
      </c>
    </row>
    <row r="45" spans="1:10">
      <c r="B45" s="3"/>
      <c r="C45" s="3"/>
      <c r="D45" s="3"/>
      <c r="E45" s="3"/>
      <c r="F45" s="3"/>
      <c r="G45" s="3"/>
      <c r="H45" s="3"/>
      <c r="I45" s="3"/>
      <c r="J45" s="18" t="s">
        <v>0</v>
      </c>
    </row>
  </sheetData>
  <mergeCells count="10">
    <mergeCell ref="A1:C1"/>
    <mergeCell ref="N11:O11"/>
    <mergeCell ref="B22:B23"/>
    <mergeCell ref="C22:C23"/>
    <mergeCell ref="D22:D23"/>
    <mergeCell ref="E22:E23"/>
    <mergeCell ref="F22:F23"/>
    <mergeCell ref="G22:G23"/>
    <mergeCell ref="H22:H23"/>
    <mergeCell ref="I22:I23"/>
  </mergeCells>
  <conditionalFormatting sqref="B4:I4">
    <cfRule type="expression" dxfId="178" priority="21">
      <formula>_xlfn.XLOOKUP($A2&amp;"-"&amp;B$2, Data_Patch_Lookup, Data_Patch_Color_Lookup, "") = "black"</formula>
    </cfRule>
    <cfRule type="expression" dxfId="177" priority="22">
      <formula>_xlfn.XLOOKUP($A2&amp;"-"&amp;B$2, Data_Patch_Lookup, Data_Patch_Color_Lookup, "") = "purple"</formula>
    </cfRule>
    <cfRule type="expression" dxfId="176" priority="23">
      <formula>_xlfn.XLOOKUP($A2&amp;"-"&amp;B$2, Data_Patch_Lookup, Data_Patch_Color_Lookup, "") = "grey"</formula>
    </cfRule>
    <cfRule type="expression" dxfId="175" priority="24">
      <formula>_xlfn.XLOOKUP($A2&amp;"-"&amp;B$2, Data_Patch_Lookup, Data_Patch_Color_Lookup, "") = "brown"</formula>
    </cfRule>
    <cfRule type="expression" dxfId="174" priority="25">
      <formula>_xlfn.XLOOKUP($A2&amp;"-"&amp;B$2, Data_Patch_Lookup, Data_Patch_Color_Lookup, "") = "yellow"</formula>
    </cfRule>
    <cfRule type="expression" dxfId="173" priority="26">
      <formula>_xlfn.XLOOKUP($A2&amp;"-"&amp;B$2, Data_Patch_Lookup, Data_Patch_Color_Lookup, "") = "orange"</formula>
    </cfRule>
    <cfRule type="expression" dxfId="172" priority="27">
      <formula>_xlfn.XLOOKUP($A2&amp;"-"&amp;B$2, Data_Patch_Lookup, Data_Patch_Color_Lookup, "") = "green"</formula>
    </cfRule>
    <cfRule type="expression" dxfId="171" priority="28">
      <formula>_xlfn.XLOOKUP($A2&amp;"-"&amp;B$2, Data_Patch_Lookup, Data_Patch_Color_Lookup, "") = "red"</formula>
    </cfRule>
    <cfRule type="expression" dxfId="170" priority="29">
      <formula>_xlfn.XLOOKUP($A2&amp;"-"&amp;B$2, Data_Patch_Lookup, Data_Patch_Color_Lookup, "") = "white"</formula>
    </cfRule>
    <cfRule type="expression" dxfId="169" priority="30">
      <formula>_xlfn.XLOOKUP($A2&amp;"-"&amp;B$2, Data_Patch_Lookup, Data_Patch_Color_Lookup, "") = "blue"</formula>
    </cfRule>
  </conditionalFormatting>
  <conditionalFormatting sqref="B9:I9">
    <cfRule type="expression" dxfId="168" priority="186" stopIfTrue="1">
      <formula>_xlfn.XLOOKUP(B9,#REF!,#REF!, "") = "purple"</formula>
    </cfRule>
    <cfRule type="expression" dxfId="167" priority="187" stopIfTrue="1">
      <formula>_xlfn.XLOOKUP(B9,#REF!,#REF!, "") = "brown"</formula>
    </cfRule>
    <cfRule type="expression" dxfId="166" priority="188" stopIfTrue="1">
      <formula>_xlfn.XLOOKUP(B9,#REF!,#REF!, "") = "orange"</formula>
    </cfRule>
    <cfRule type="expression" dxfId="165" priority="189" stopIfTrue="1">
      <formula>_xlfn.XLOOKUP(B9,#REF!,#REF!, "") = "yellow"</formula>
    </cfRule>
    <cfRule type="expression" dxfId="164" priority="190" stopIfTrue="1">
      <formula>_xlfn.XLOOKUP(B9,#REF!,#REF!, "") = "grey"</formula>
    </cfRule>
    <cfRule type="expression" dxfId="163" priority="191" stopIfTrue="1">
      <formula>_xlfn.XLOOKUP(B9,#REF!,#REF!, "") = "green"</formula>
    </cfRule>
    <cfRule type="expression" dxfId="162" priority="192" stopIfTrue="1">
      <formula>_xlfn.XLOOKUP(B9,#REF!,#REF!, "") = "blue"</formula>
    </cfRule>
    <cfRule type="expression" dxfId="161" priority="193" stopIfTrue="1">
      <formula>_xlfn.XLOOKUP(B9,#REF!,#REF!, "") = "red"</formula>
    </cfRule>
    <cfRule type="expression" dxfId="160" priority="194" stopIfTrue="1">
      <formula>_xlfn.XLOOKUP(B9,#REF!,#REF!, "") = "white"</formula>
    </cfRule>
  </conditionalFormatting>
  <conditionalFormatting sqref="B14:I14">
    <cfRule type="expression" dxfId="159" priority="11">
      <formula>_xlfn.XLOOKUP($A12&amp;"-"&amp;B$2, Data_Patch_Lookup, Data_Patch_Color_Lookup, "") = "black"</formula>
    </cfRule>
    <cfRule type="expression" dxfId="158" priority="12">
      <formula>_xlfn.XLOOKUP($A12&amp;"-"&amp;B$2, Data_Patch_Lookup, Data_Patch_Color_Lookup, "") = "purple"</formula>
    </cfRule>
    <cfRule type="expression" dxfId="157" priority="13">
      <formula>_xlfn.XLOOKUP($A12&amp;"-"&amp;B$2, Data_Patch_Lookup, Data_Patch_Color_Lookup, "") = "grey"</formula>
    </cfRule>
    <cfRule type="expression" dxfId="156" priority="14">
      <formula>_xlfn.XLOOKUP($A12&amp;"-"&amp;B$2, Data_Patch_Lookup, Data_Patch_Color_Lookup, "") = "brown"</formula>
    </cfRule>
    <cfRule type="expression" dxfId="155" priority="15">
      <formula>_xlfn.XLOOKUP($A12&amp;"-"&amp;B$2, Data_Patch_Lookup, Data_Patch_Color_Lookup, "") = "yellow"</formula>
    </cfRule>
    <cfRule type="expression" dxfId="154" priority="16">
      <formula>_xlfn.XLOOKUP($A12&amp;"-"&amp;B$2, Data_Patch_Lookup, Data_Patch_Color_Lookup, "") = "orange"</formula>
    </cfRule>
    <cfRule type="expression" dxfId="153" priority="17">
      <formula>_xlfn.XLOOKUP($A12&amp;"-"&amp;B$2, Data_Patch_Lookup, Data_Patch_Color_Lookup, "") = "green"</formula>
    </cfRule>
    <cfRule type="expression" dxfId="152" priority="18">
      <formula>_xlfn.XLOOKUP($A12&amp;"-"&amp;B$2, Data_Patch_Lookup, Data_Patch_Color_Lookup, "") = "red"</formula>
    </cfRule>
    <cfRule type="expression" dxfId="151" priority="19">
      <formula>_xlfn.XLOOKUP($A12&amp;"-"&amp;B$2, Data_Patch_Lookup, Data_Patch_Color_Lookup, "") = "white"</formula>
    </cfRule>
    <cfRule type="expression" dxfId="150" priority="20">
      <formula>_xlfn.XLOOKUP($A12&amp;"-"&amp;B$2, Data_Patch_Lookup, Data_Patch_Color_Lookup, "") = "blue"</formula>
    </cfRule>
  </conditionalFormatting>
  <conditionalFormatting sqref="B19:I19">
    <cfRule type="expression" dxfId="149" priority="1">
      <formula>_xlfn.XLOOKUP($A17&amp;"-"&amp;B$2, Data_Patch_Lookup, Data_Patch_Color_Lookup, "") = "black"</formula>
    </cfRule>
    <cfRule type="expression" dxfId="148" priority="2">
      <formula>_xlfn.XLOOKUP($A17&amp;"-"&amp;B$2, Data_Patch_Lookup, Data_Patch_Color_Lookup, "") = "purple"</formula>
    </cfRule>
    <cfRule type="expression" dxfId="147" priority="3">
      <formula>_xlfn.XLOOKUP($A17&amp;"-"&amp;B$2, Data_Patch_Lookup, Data_Patch_Color_Lookup, "") = "grey"</formula>
    </cfRule>
    <cfRule type="expression" dxfId="146" priority="4">
      <formula>_xlfn.XLOOKUP($A17&amp;"-"&amp;B$2, Data_Patch_Lookup, Data_Patch_Color_Lookup, "") = "brown"</formula>
    </cfRule>
    <cfRule type="expression" dxfId="145" priority="5">
      <formula>_xlfn.XLOOKUP($A17&amp;"-"&amp;B$2, Data_Patch_Lookup, Data_Patch_Color_Lookup, "") = "yellow"</formula>
    </cfRule>
    <cfRule type="expression" dxfId="144" priority="6">
      <formula>_xlfn.XLOOKUP($A17&amp;"-"&amp;B$2, Data_Patch_Lookup, Data_Patch_Color_Lookup, "") = "orange"</formula>
    </cfRule>
    <cfRule type="expression" dxfId="143" priority="7">
      <formula>_xlfn.XLOOKUP($A17&amp;"-"&amp;B$2, Data_Patch_Lookup, Data_Patch_Color_Lookup, "") = "green"</formula>
    </cfRule>
    <cfRule type="expression" dxfId="142" priority="8">
      <formula>_xlfn.XLOOKUP($A17&amp;"-"&amp;B$2, Data_Patch_Lookup, Data_Patch_Color_Lookup, "") = "red"</formula>
    </cfRule>
    <cfRule type="expression" dxfId="141" priority="9">
      <formula>_xlfn.XLOOKUP($A17&amp;"-"&amp;B$2, Data_Patch_Lookup, Data_Patch_Color_Lookup, "") = "white"</formula>
    </cfRule>
    <cfRule type="expression" dxfId="140" priority="10">
      <formula>_xlfn.XLOOKUP($A17&amp;"-"&amp;B$2, Data_Patch_Lookup, Data_Patch_Color_Lookup, "") = "blue"</formula>
    </cfRule>
  </conditionalFormatting>
  <conditionalFormatting sqref="B25:I25">
    <cfRule type="expression" dxfId="139" priority="105" stopIfTrue="1">
      <formula>_xlfn.XLOOKUP(B25,#REF!,#REF!, "") = "purple"</formula>
    </cfRule>
    <cfRule type="expression" dxfId="138" priority="106" stopIfTrue="1">
      <formula>_xlfn.XLOOKUP(B25,#REF!,#REF!, "") = "brown"</formula>
    </cfRule>
    <cfRule type="expression" dxfId="137" priority="107" stopIfTrue="1">
      <formula>_xlfn.XLOOKUP(B25,#REF!,#REF!, "") = "orange"</formula>
    </cfRule>
    <cfRule type="expression" dxfId="136" priority="108" stopIfTrue="1">
      <formula>_xlfn.XLOOKUP(B25,#REF!,#REF!, "") = "yellow"</formula>
    </cfRule>
    <cfRule type="expression" dxfId="135" priority="109" stopIfTrue="1">
      <formula>_xlfn.XLOOKUP(B25,#REF!,#REF!, "") = "grey"</formula>
    </cfRule>
    <cfRule type="expression" dxfId="134" priority="110" stopIfTrue="1">
      <formula>_xlfn.XLOOKUP(B25,#REF!,#REF!, "") = "green"</formula>
    </cfRule>
    <cfRule type="expression" dxfId="133" priority="111" stopIfTrue="1">
      <formula>_xlfn.XLOOKUP(B25,#REF!,#REF!, "") = "blue"</formula>
    </cfRule>
    <cfRule type="expression" dxfId="132" priority="112" stopIfTrue="1">
      <formula>_xlfn.XLOOKUP(B25,#REF!,#REF!, "") = "red"</formula>
    </cfRule>
    <cfRule type="expression" dxfId="131" priority="113" stopIfTrue="1">
      <formula>_xlfn.XLOOKUP(B25,#REF!,#REF!, "") = "white"</formula>
    </cfRule>
  </conditionalFormatting>
  <conditionalFormatting sqref="N2">
    <cfRule type="cellIs" dxfId="130" priority="31" operator="greaterThan">
      <formula>$N$3</formula>
    </cfRule>
  </conditionalFormatting>
  <pageMargins left="0.7" right="0.7" top="0.75" bottom="0.75" header="0.3" footer="0.3"/>
  <pageSetup scale="5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BDC9-1287-4232-9D54-7D7BA3558362}">
  <sheetPr>
    <pageSetUpPr fitToPage="1"/>
  </sheetPr>
  <dimension ref="A1:R40"/>
  <sheetViews>
    <sheetView zoomScaleNormal="100" workbookViewId="0">
      <selection activeCell="B14" sqref="B14:I14"/>
    </sheetView>
  </sheetViews>
  <sheetFormatPr defaultColWidth="9.109375" defaultRowHeight="14.4"/>
  <cols>
    <col min="1" max="1" width="18.77734375" style="1" customWidth="1"/>
    <col min="2" max="12" width="12.6640625" style="1" customWidth="1"/>
    <col min="13" max="13" width="13.6640625" style="1" customWidth="1"/>
    <col min="14" max="16" width="12.6640625" style="1" customWidth="1"/>
    <col min="17" max="17" width="21.6640625" style="1" customWidth="1"/>
    <col min="18" max="16384" width="9.109375" style="1"/>
  </cols>
  <sheetData>
    <row r="1" spans="1:17" ht="75.599999999999994" customHeight="1">
      <c r="A1" s="29" t="s">
        <v>46</v>
      </c>
      <c r="B1" s="29"/>
      <c r="C1" s="29"/>
      <c r="D1" s="20"/>
      <c r="E1" s="20"/>
      <c r="F1" s="20"/>
      <c r="G1" s="20"/>
      <c r="H1" s="20"/>
      <c r="I1" s="20"/>
      <c r="J1" s="21" t="str">
        <f>DATA!$G$2</f>
        <v>Untitled Show</v>
      </c>
      <c r="Q1" s="1" t="e" vm="1">
        <v>#VALUE!</v>
      </c>
    </row>
    <row r="2" spans="1:17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M2" s="17" t="s">
        <v>43</v>
      </c>
      <c r="N2" s="1">
        <f>COUNTA(Data_Patch[Outlet ID])</f>
        <v>144</v>
      </c>
    </row>
    <row r="3" spans="1:17">
      <c r="A3" s="3" t="s">
        <v>14</v>
      </c>
      <c r="B3" s="3">
        <f>_xlfn.XLOOKUP($A$2&amp;"-"&amp;B$2, Data_Patch[Outlet ID], Data_Patch[Universe], "")</f>
        <v>1</v>
      </c>
      <c r="C3" s="3">
        <f>_xlfn.XLOOKUP($A$2&amp;"-"&amp;C$2, Data_Patch[Outlet ID], Data_Patch[Universe], "")</f>
        <v>2</v>
      </c>
      <c r="D3" s="3">
        <f>_xlfn.XLOOKUP($A$2&amp;"-"&amp;D$2, Data_Patch[Outlet ID], Data_Patch[Universe], "")</f>
        <v>0</v>
      </c>
      <c r="E3" s="3">
        <f>_xlfn.XLOOKUP($A$2&amp;"-"&amp;E$2, Data_Patch[Outlet ID], Data_Patch[Universe], "")</f>
        <v>0</v>
      </c>
      <c r="F3" s="3">
        <f>_xlfn.XLOOKUP($A$2&amp;"-"&amp;F$2, Data_Patch[Outlet ID], Data_Patch[Universe], "")</f>
        <v>12</v>
      </c>
      <c r="G3" s="3">
        <f>_xlfn.XLOOKUP($A$2&amp;"-"&amp;G$2, Data_Patch[Outlet ID], Data_Patch[Universe], "")</f>
        <v>13</v>
      </c>
      <c r="H3" s="3">
        <f>_xlfn.XLOOKUP($A$2&amp;"-"&amp;H$2, Data_Patch[Outlet ID], Data_Patch[Universe], "")</f>
        <v>0</v>
      </c>
      <c r="I3" s="3">
        <f>_xlfn.XLOOKUP($A$2&amp;"-"&amp;I$2, Data_Patch[Outlet ID], Data_Patch[Universe], "")</f>
        <v>0</v>
      </c>
      <c r="J3" s="18" t="s">
        <v>1</v>
      </c>
      <c r="M3" s="17" t="s">
        <v>42</v>
      </c>
      <c r="N3" s="1">
        <v>24</v>
      </c>
    </row>
    <row r="4" spans="1:17">
      <c r="A4" s="3" t="s">
        <v>15</v>
      </c>
      <c r="B4" s="3" t="str">
        <f>_xlfn.XLOOKUP($A$2&amp;"-"&amp;B$2, Data_Patch[Outlet ID], Data_Patch[Cable], "")</f>
        <v>DSB1</v>
      </c>
      <c r="C4" s="3" t="str">
        <f>_xlfn.XLOOKUP($A$2&amp;"-"&amp;C$2, Data_Patch[Outlet ID], Data_Patch[Cable], "")</f>
        <v>DSB2</v>
      </c>
      <c r="D4" s="3" t="str">
        <f>_xlfn.XLOOKUP($A$2&amp;"-"&amp;D$2, Data_Patch[Outlet ID], Data_Patch[Cable], "")</f>
        <v/>
      </c>
      <c r="E4" s="3" t="str">
        <f>_xlfn.XLOOKUP($A$2&amp;"-"&amp;E$2, Data_Patch[Outlet ID], Data_Patch[Cable], "")</f>
        <v/>
      </c>
      <c r="F4" s="3" t="str">
        <f>_xlfn.XLOOKUP($A$2&amp;"-"&amp;F$2, Data_Patch[Outlet ID], Data_Patch[Cable], "")</f>
        <v>SLW1</v>
      </c>
      <c r="G4" s="3" t="str">
        <f>_xlfn.XLOOKUP($A$2&amp;"-"&amp;G$2, Data_Patch[Outlet ID], Data_Patch[Cable], "")</f>
        <v>SLW2</v>
      </c>
      <c r="H4" s="3" t="str">
        <f>_xlfn.XLOOKUP($A$2&amp;"-"&amp;H$2, Data_Patch[Outlet ID], Data_Patch[Cable], "")</f>
        <v/>
      </c>
      <c r="I4" s="3" t="str">
        <f>_xlfn.XLOOKUP($A$2&amp;"-"&amp;I$2, Data_Patch[Outlet ID], Data_Patch[Cable], "")</f>
        <v/>
      </c>
      <c r="J4" s="18" t="s">
        <v>16</v>
      </c>
    </row>
    <row r="5" spans="1:17">
      <c r="A5" s="3"/>
      <c r="B5" s="3" t="str">
        <f>_xlfn.XLOOKUP($A$2&amp;"-"&amp;B$2, Data_Patch[Outlet ID], Data_Patch[Type], "")</f>
        <v>Sneak</v>
      </c>
      <c r="C5" s="3" t="str">
        <f>_xlfn.XLOOKUP($A$2&amp;"-"&amp;C$2, Data_Patch[Outlet ID], Data_Patch[Type], "")</f>
        <v>Sneak</v>
      </c>
      <c r="D5" s="3" t="str">
        <f>_xlfn.XLOOKUP($A$2&amp;"-"&amp;D$2, Data_Patch[Outlet ID], Data_Patch[Type], "")</f>
        <v/>
      </c>
      <c r="E5" s="3" t="str">
        <f>_xlfn.XLOOKUP($A$2&amp;"-"&amp;E$2, Data_Patch[Outlet ID], Data_Patch[Type], "")</f>
        <v/>
      </c>
      <c r="F5" s="3" t="str">
        <f>_xlfn.XLOOKUP($A$2&amp;"-"&amp;F$2, Data_Patch[Outlet ID], Data_Patch[Type], "")</f>
        <v>Sneak</v>
      </c>
      <c r="G5" s="3" t="str">
        <f>_xlfn.XLOOKUP($A$2&amp;"-"&amp;G$2, Data_Patch[Outlet ID], Data_Patch[Type], "")</f>
        <v>Sneak</v>
      </c>
      <c r="H5" s="3" t="str">
        <f>_xlfn.XLOOKUP($A$2&amp;"-"&amp;H$2, Data_Patch[Outlet ID], Data_Patch[Type], "")</f>
        <v/>
      </c>
      <c r="I5" s="3" t="str">
        <f>_xlfn.XLOOKUP($A$2&amp;"-"&amp;I$2, Data_Patch[Outlet ID], Data_Patch[Type], "")</f>
        <v/>
      </c>
      <c r="J5" s="18" t="s">
        <v>0</v>
      </c>
    </row>
    <row r="6" spans="1:17">
      <c r="J6" s="18"/>
    </row>
    <row r="7" spans="1:17">
      <c r="A7" s="2" t="s">
        <v>17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18"/>
    </row>
    <row r="8" spans="1:17">
      <c r="A8" s="3" t="s">
        <v>14</v>
      </c>
      <c r="B8" s="3">
        <f>_xlfn.XLOOKUP($A$7&amp;"-"&amp;B$7, Data_Patch[Outlet ID], Data_Patch[Universe], "")</f>
        <v>0</v>
      </c>
      <c r="C8" s="3">
        <f>_xlfn.XLOOKUP($A$7&amp;"-"&amp;C$7, Data_Patch[Outlet ID], Data_Patch[Universe], "")</f>
        <v>0</v>
      </c>
      <c r="D8" s="3">
        <f>_xlfn.XLOOKUP($A$7&amp;"-"&amp;D$7, Data_Patch[Outlet ID], Data_Patch[Universe], "")</f>
        <v>0</v>
      </c>
      <c r="E8" s="3">
        <f>_xlfn.XLOOKUP($A$7&amp;"-"&amp;E$7, Data_Patch[Outlet ID], Data_Patch[Universe], "")</f>
        <v>0</v>
      </c>
      <c r="F8" s="3">
        <f>_xlfn.XLOOKUP($A$7&amp;"-"&amp;F$7, Data_Patch[Outlet ID], Data_Patch[Universe], "")</f>
        <v>0</v>
      </c>
      <c r="G8" s="3">
        <f>_xlfn.XLOOKUP($A$7&amp;"-"&amp;G$7, Data_Patch[Outlet ID], Data_Patch[Universe], "")</f>
        <v>0</v>
      </c>
      <c r="H8" s="3">
        <f>_xlfn.XLOOKUP($A$7&amp;"-"&amp;H$7, Data_Patch[Outlet ID], Data_Patch[Universe], "")</f>
        <v>0</v>
      </c>
      <c r="I8" s="3">
        <f>_xlfn.XLOOKUP($A$7&amp;"-"&amp;I$7, Data_Patch[Outlet ID], Data_Patch[Universe], "")</f>
        <v>0</v>
      </c>
      <c r="J8" s="18" t="s">
        <v>1</v>
      </c>
    </row>
    <row r="9" spans="1:17">
      <c r="A9" s="3" t="s">
        <v>15</v>
      </c>
      <c r="B9" s="3" t="str">
        <f>_xlfn.XLOOKUP($A$7&amp;"-"&amp;B$7, Data_Patch[Outlet ID], Data_Patch[Cable], "")</f>
        <v/>
      </c>
      <c r="C9" s="3" t="str">
        <f>_xlfn.XLOOKUP($A$7&amp;"-"&amp;C$7, Data_Patch[Outlet ID], Data_Patch[Cable], "")</f>
        <v/>
      </c>
      <c r="D9" s="3" t="str">
        <f>_xlfn.XLOOKUP($A$7&amp;"-"&amp;D$7, Data_Patch[Outlet ID], Data_Patch[Cable], "")</f>
        <v/>
      </c>
      <c r="E9" s="3" t="str">
        <f>_xlfn.XLOOKUP($A$7&amp;"-"&amp;E$7, Data_Patch[Outlet ID], Data_Patch[Cable], "")</f>
        <v/>
      </c>
      <c r="F9" s="3" t="str">
        <f>_xlfn.XLOOKUP($A$7&amp;"-"&amp;F$7, Data_Patch[Outlet ID], Data_Patch[Cable], "")</f>
        <v/>
      </c>
      <c r="G9" s="3" t="str">
        <f>_xlfn.XLOOKUP($A$7&amp;"-"&amp;G$7, Data_Patch[Outlet ID], Data_Patch[Cable], "")</f>
        <v/>
      </c>
      <c r="H9" s="3" t="str">
        <f>_xlfn.XLOOKUP($A$7&amp;"-"&amp;H$7, Data_Patch[Outlet ID], Data_Patch[Cable], "")</f>
        <v/>
      </c>
      <c r="I9" s="3" t="str">
        <f>_xlfn.XLOOKUP($A$7&amp;"-"&amp;I$7, Data_Patch[Outlet ID], Data_Patch[Cable], "")</f>
        <v/>
      </c>
      <c r="J9" s="18" t="s">
        <v>16</v>
      </c>
    </row>
    <row r="10" spans="1:17">
      <c r="A10" s="3"/>
      <c r="B10" s="3" t="str">
        <f>_xlfn.XLOOKUP($A$7&amp;"-"&amp;B$7, Data_Patch[Outlet ID], Data_Patch[Type], "")</f>
        <v/>
      </c>
      <c r="C10" s="3" t="str">
        <f>_xlfn.XLOOKUP($A$7&amp;"-"&amp;C$7, Data_Patch[Outlet ID], Data_Patch[Type], "")</f>
        <v/>
      </c>
      <c r="D10" s="3" t="str">
        <f>_xlfn.XLOOKUP($A$7&amp;"-"&amp;D$7, Data_Patch[Outlet ID], Data_Patch[Type], "")</f>
        <v/>
      </c>
      <c r="E10" s="3" t="str">
        <f>_xlfn.XLOOKUP($A$7&amp;"-"&amp;E$7, Data_Patch[Outlet ID], Data_Patch[Type], "")</f>
        <v/>
      </c>
      <c r="F10" s="3" t="str">
        <f>_xlfn.XLOOKUP($A$7&amp;"-"&amp;F$7, Data_Patch[Outlet ID], Data_Patch[Type], "")</f>
        <v/>
      </c>
      <c r="G10" s="3" t="str">
        <f>_xlfn.XLOOKUP($A$7&amp;"-"&amp;G$7, Data_Patch[Outlet ID], Data_Patch[Type], "")</f>
        <v/>
      </c>
      <c r="H10" s="3" t="str">
        <f>_xlfn.XLOOKUP($A$7&amp;"-"&amp;H$7, Data_Patch[Outlet ID], Data_Patch[Type], "")</f>
        <v/>
      </c>
      <c r="I10" s="3" t="str">
        <f>_xlfn.XLOOKUP($A$7&amp;"-"&amp;I$7, Data_Patch[Outlet ID], Data_Patch[Type], "")</f>
        <v/>
      </c>
      <c r="J10" s="18" t="s">
        <v>0</v>
      </c>
    </row>
    <row r="11" spans="1:17">
      <c r="J11" s="18"/>
      <c r="N11" s="34"/>
      <c r="O11" s="34"/>
    </row>
    <row r="12" spans="1:17">
      <c r="A12" s="2" t="s">
        <v>18</v>
      </c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  <c r="G12" s="3" t="s">
        <v>11</v>
      </c>
      <c r="H12" s="3" t="s">
        <v>12</v>
      </c>
      <c r="I12" s="3" t="s">
        <v>13</v>
      </c>
      <c r="J12" s="18"/>
      <c r="N12" s="14"/>
      <c r="O12" s="15"/>
    </row>
    <row r="13" spans="1:17">
      <c r="A13" s="3" t="s">
        <v>14</v>
      </c>
      <c r="B13" s="3">
        <f>_xlfn.XLOOKUP($A$12&amp;"-"&amp;B$12, Data_Patch[Outlet ID], Data_Patch[Universe], "")</f>
        <v>0</v>
      </c>
      <c r="C13" s="3">
        <f>_xlfn.XLOOKUP($A$12&amp;"-"&amp;C$12, Data_Patch[Outlet ID], Data_Patch[Universe], "")</f>
        <v>0</v>
      </c>
      <c r="D13" s="3">
        <f>_xlfn.XLOOKUP($A$12&amp;"-"&amp;D$12, Data_Patch[Outlet ID], Data_Patch[Universe], "")</f>
        <v>0</v>
      </c>
      <c r="E13" s="3">
        <f>_xlfn.XLOOKUP($A$12&amp;"-"&amp;E$12, Data_Patch[Outlet ID], Data_Patch[Universe], "")</f>
        <v>0</v>
      </c>
      <c r="F13" s="3">
        <f>_xlfn.XLOOKUP($A$12&amp;"-"&amp;F$12, Data_Patch[Outlet ID], Data_Patch[Universe], "")</f>
        <v>0</v>
      </c>
      <c r="G13" s="3">
        <f>_xlfn.XLOOKUP($A$12&amp;"-"&amp;G$12, Data_Patch[Outlet ID], Data_Patch[Universe], "")</f>
        <v>0</v>
      </c>
      <c r="H13" s="3">
        <f>_xlfn.XLOOKUP($A$12&amp;"-"&amp;H$12, Data_Patch[Outlet ID], Data_Patch[Universe], "")</f>
        <v>0</v>
      </c>
      <c r="I13" s="3">
        <f>_xlfn.XLOOKUP($A$12&amp;"-"&amp;I$12, Data_Patch[Outlet ID], Data_Patch[Universe], "")</f>
        <v>0</v>
      </c>
      <c r="J13" s="18" t="s">
        <v>1</v>
      </c>
    </row>
    <row r="14" spans="1:17">
      <c r="A14" s="3" t="s">
        <v>15</v>
      </c>
      <c r="B14" s="3" t="str">
        <f>_xlfn.XLOOKUP($A$12&amp;"-"&amp;B$12, Data_Patch[Outlet ID], Data_Patch[Cable], "")</f>
        <v/>
      </c>
      <c r="C14" s="3" t="str">
        <f>_xlfn.XLOOKUP($A$12&amp;"-"&amp;C$12, Data_Patch[Outlet ID], Data_Patch[Cable], "")</f>
        <v/>
      </c>
      <c r="D14" s="3" t="str">
        <f>_xlfn.XLOOKUP($A$12&amp;"-"&amp;D$12, Data_Patch[Outlet ID], Data_Patch[Cable], "")</f>
        <v/>
      </c>
      <c r="E14" s="3" t="str">
        <f>_xlfn.XLOOKUP($A$12&amp;"-"&amp;E$12, Data_Patch[Outlet ID], Data_Patch[Cable], "")</f>
        <v/>
      </c>
      <c r="F14" s="3" t="str">
        <f>_xlfn.XLOOKUP($A$12&amp;"-"&amp;F$12, Data_Patch[Outlet ID], Data_Patch[Cable], "")</f>
        <v/>
      </c>
      <c r="G14" s="3" t="str">
        <f>_xlfn.XLOOKUP($A$12&amp;"-"&amp;G$12, Data_Patch[Outlet ID], Data_Patch[Cable], "")</f>
        <v/>
      </c>
      <c r="H14" s="3" t="str">
        <f>_xlfn.XLOOKUP($A$12&amp;"-"&amp;H$12, Data_Patch[Outlet ID], Data_Patch[Cable], "")</f>
        <v/>
      </c>
      <c r="I14" s="3" t="str">
        <f>_xlfn.XLOOKUP($A$12&amp;"-"&amp;I$12, Data_Patch[Outlet ID], Data_Patch[Cable], "")</f>
        <v/>
      </c>
      <c r="J14" s="18" t="s">
        <v>16</v>
      </c>
    </row>
    <row r="15" spans="1:17">
      <c r="A15" s="3"/>
      <c r="B15" s="3" t="str">
        <f>_xlfn.XLOOKUP($A$12&amp;"-"&amp;B$12, Data_Patch[Outlet ID], Data_Patch[Type], "")</f>
        <v/>
      </c>
      <c r="C15" s="3" t="str">
        <f>_xlfn.XLOOKUP($A$12&amp;"-"&amp;C$12, Data_Patch[Outlet ID], Data_Patch[Type], "")</f>
        <v/>
      </c>
      <c r="D15" s="3" t="str">
        <f>_xlfn.XLOOKUP($A$12&amp;"-"&amp;D$12, Data_Patch[Outlet ID], Data_Patch[Type], "")</f>
        <v/>
      </c>
      <c r="E15" s="3" t="str">
        <f>_xlfn.XLOOKUP($A$12&amp;"-"&amp;E$12, Data_Patch[Outlet ID], Data_Patch[Type], "")</f>
        <v/>
      </c>
      <c r="F15" s="3" t="str">
        <f>_xlfn.XLOOKUP($A$12&amp;"-"&amp;F$12, Data_Patch[Outlet ID], Data_Patch[Type], "")</f>
        <v/>
      </c>
      <c r="G15" s="3" t="str">
        <f>_xlfn.XLOOKUP($A$12&amp;"-"&amp;G$12, Data_Patch[Outlet ID], Data_Patch[Type], "")</f>
        <v/>
      </c>
      <c r="H15" s="3" t="str">
        <f>_xlfn.XLOOKUP($A$12&amp;"-"&amp;H$12, Data_Patch[Outlet ID], Data_Patch[Type], "")</f>
        <v/>
      </c>
      <c r="I15" s="3" t="str">
        <f>_xlfn.XLOOKUP($A$12&amp;"-"&amp;I$12, Data_Patch[Outlet ID], Data_Patch[Type], "")</f>
        <v/>
      </c>
      <c r="J15" s="18" t="s">
        <v>0</v>
      </c>
    </row>
    <row r="16" spans="1:17">
      <c r="J16" s="18"/>
    </row>
    <row r="17" spans="1:18" ht="6" customHeight="1">
      <c r="B17" s="30"/>
      <c r="C17" s="31"/>
      <c r="D17" s="32"/>
      <c r="E17" s="33"/>
      <c r="F17" s="35"/>
      <c r="G17" s="36"/>
      <c r="H17" s="37"/>
      <c r="I17" s="38"/>
      <c r="J17"/>
      <c r="K17"/>
      <c r="L17"/>
      <c r="M17"/>
      <c r="N17"/>
      <c r="O17"/>
      <c r="P17"/>
      <c r="Q17"/>
      <c r="R17"/>
    </row>
    <row r="18" spans="1:18" ht="6" customHeight="1">
      <c r="B18" s="30"/>
      <c r="C18" s="31"/>
      <c r="D18" s="32"/>
      <c r="E18" s="33"/>
      <c r="F18" s="35"/>
      <c r="G18" s="36"/>
      <c r="H18" s="37"/>
      <c r="I18" s="38"/>
      <c r="J18"/>
      <c r="K18"/>
      <c r="L18"/>
      <c r="M18"/>
      <c r="N18"/>
      <c r="O18"/>
      <c r="P18"/>
      <c r="Q18"/>
      <c r="R18"/>
    </row>
    <row r="19" spans="1:18" ht="15" hidden="1" customHeight="1">
      <c r="B19" s="3">
        <v>1</v>
      </c>
      <c r="C19" s="3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  <c r="I19" s="1">
        <v>8</v>
      </c>
      <c r="J19"/>
      <c r="K19"/>
      <c r="L19"/>
      <c r="M19"/>
      <c r="N19"/>
      <c r="O19"/>
      <c r="P19"/>
      <c r="Q19"/>
      <c r="R19"/>
    </row>
    <row r="20" spans="1:18">
      <c r="A20" s="6" t="s">
        <v>21</v>
      </c>
      <c r="B20" s="3" t="str">
        <f>_xlfn.XLOOKUP(B19, Data_Multis[Multi ID], Data_Multis[Multi Name], "")</f>
        <v>DSB1</v>
      </c>
      <c r="C20" s="3" t="str">
        <f>_xlfn.XLOOKUP(C19, Data_Multis[Multi ID], Data_Multis[Multi Name], "")</f>
        <v>SLW1</v>
      </c>
      <c r="D20" s="3" t="str">
        <f>_xlfn.XLOOKUP(D19, Data_Multis[Multi ID], Data_Multis[Multi Name], "")</f>
        <v>THR1</v>
      </c>
      <c r="E20" s="3" t="str">
        <f>_xlfn.XLOOKUP(E19, Data_Multis[Multi ID], Data_Multis[Multi Name], "")</f>
        <v>THR2</v>
      </c>
      <c r="F20" s="3" t="str">
        <f>_xlfn.XLOOKUP(F19, Data_Multis[Multi ID], Data_Multis[Multi Name], "")</f>
        <v>DSL1</v>
      </c>
      <c r="G20" s="3" t="str">
        <f>_xlfn.XLOOKUP(G19, Data_Multis[Multi ID], Data_Multis[Multi Name], "")</f>
        <v>SLWF1</v>
      </c>
      <c r="H20" s="3" t="str">
        <f>_xlfn.XLOOKUP(H19, Data_Multis[Multi ID], Data_Multis[Multi Name], "")</f>
        <v>SRL1</v>
      </c>
      <c r="I20" s="3" t="str">
        <f>_xlfn.XLOOKUP(I19, Data_Multis[Multi ID], Data_Multis[Multi Name], "")</f>
        <v>SLL1</v>
      </c>
      <c r="J20"/>
      <c r="K20"/>
      <c r="L20"/>
      <c r="M20"/>
      <c r="N20"/>
      <c r="O20"/>
      <c r="P20"/>
      <c r="Q20"/>
      <c r="R20"/>
    </row>
    <row r="21" spans="1:18">
      <c r="A21" s="4" t="s">
        <v>23</v>
      </c>
      <c r="B21" s="3" t="str">
        <f>_xlfn.XLOOKUP(B19, Data_Multis[Multi ID], Data_Multis[Line 1], "")</f>
        <v>DSB1 U1</v>
      </c>
      <c r="C21" s="3" t="str">
        <f>_xlfn.XLOOKUP(C19, Data_Multis[Multi ID], Data_Multis[Line 1], "")</f>
        <v>SLW1 U12</v>
      </c>
      <c r="D21" s="3" t="str">
        <f>_xlfn.XLOOKUP(D19, Data_Multis[Multi ID], Data_Multis[Line 1], "")</f>
        <v>THR1 U17</v>
      </c>
      <c r="E21" s="3" t="str">
        <f>_xlfn.XLOOKUP(E19, Data_Multis[Multi ID], Data_Multis[Line 1], "")</f>
        <v>THR5 U21</v>
      </c>
      <c r="F21" s="3" t="str">
        <f>_xlfn.XLOOKUP(F19, Data_Multis[Multi ID], Data_Multis[Line 1], "")</f>
        <v>DSL1 U22</v>
      </c>
      <c r="G21" s="3" t="str">
        <f>_xlfn.XLOOKUP(G19, Data_Multis[Multi ID], Data_Multis[Line 1], "")</f>
        <v>SLWF1 U24</v>
      </c>
      <c r="H21" s="3" t="str">
        <f>_xlfn.XLOOKUP(H19, Data_Multis[Multi ID], Data_Multis[Line 1], "")</f>
        <v>SRL1 U25</v>
      </c>
      <c r="I21" s="3" t="str">
        <f>_xlfn.XLOOKUP(I19, Data_Multis[Multi ID], Data_Multis[Line 1], "")</f>
        <v>SLL1 U29</v>
      </c>
      <c r="J21"/>
      <c r="K21"/>
      <c r="L21"/>
      <c r="M21"/>
      <c r="N21"/>
      <c r="O21"/>
      <c r="P21"/>
      <c r="Q21"/>
      <c r="R21"/>
    </row>
    <row r="22" spans="1:18">
      <c r="A22" s="4" t="s">
        <v>24</v>
      </c>
      <c r="B22" s="3" t="str">
        <f>_xlfn.XLOOKUP(B19, Data_Multis[Multi ID], Data_Multis[Line 2], "")</f>
        <v>DSB2 U2</v>
      </c>
      <c r="C22" s="3" t="str">
        <f>_xlfn.XLOOKUP(C19, Data_Multis[Multi ID], Data_Multis[Line 2], "")</f>
        <v>SLW2 U13</v>
      </c>
      <c r="D22" s="3" t="str">
        <f>_xlfn.XLOOKUP(D19, Data_Multis[Multi ID], Data_Multis[Line 2], "")</f>
        <v>THR2 U18</v>
      </c>
      <c r="E22" s="3" t="str">
        <f>_xlfn.XLOOKUP(E19, Data_Multis[Multi ID], Data_Multis[Line 2], "")</f>
        <v/>
      </c>
      <c r="F22" s="3" t="str">
        <f>_xlfn.XLOOKUP(F19, Data_Multis[Multi ID], Data_Multis[Line 2], "")</f>
        <v>DSL2 U23</v>
      </c>
      <c r="G22" s="3" t="str">
        <f>_xlfn.XLOOKUP(G19, Data_Multis[Multi ID], Data_Multis[Line 2], "")</f>
        <v/>
      </c>
      <c r="H22" s="3" t="str">
        <f>_xlfn.XLOOKUP(H19, Data_Multis[Multi ID], Data_Multis[Line 2], "")</f>
        <v>SRL2 U26</v>
      </c>
      <c r="I22" s="3" t="str">
        <f>_xlfn.XLOOKUP(I19, Data_Multis[Multi ID], Data_Multis[Line 2], "")</f>
        <v>SLL2 U30</v>
      </c>
      <c r="J22"/>
      <c r="K22"/>
      <c r="L22"/>
      <c r="M22"/>
      <c r="N22"/>
      <c r="O22"/>
      <c r="P22"/>
      <c r="Q22"/>
      <c r="R22"/>
    </row>
    <row r="23" spans="1:18">
      <c r="A23" s="4" t="s">
        <v>25</v>
      </c>
      <c r="B23" s="3" t="str">
        <f>_xlfn.XLOOKUP(B19, Data_Multis[Multi ID], Data_Multis[Line 3], "")</f>
        <v/>
      </c>
      <c r="C23" s="3" t="str">
        <f>_xlfn.XLOOKUP(C19, Data_Multis[Multi ID], Data_Multis[Line 3], "")</f>
        <v/>
      </c>
      <c r="D23" s="3" t="str">
        <f>_xlfn.XLOOKUP(D19, Data_Multis[Multi ID], Data_Multis[Line 3], "")</f>
        <v>THR3 U19</v>
      </c>
      <c r="E23" s="3" t="str">
        <f>_xlfn.XLOOKUP(E19, Data_Multis[Multi ID], Data_Multis[Line 3], "")</f>
        <v/>
      </c>
      <c r="F23" s="3" t="str">
        <f>_xlfn.XLOOKUP(F19, Data_Multis[Multi ID], Data_Multis[Line 3], "")</f>
        <v/>
      </c>
      <c r="G23" s="3" t="str">
        <f>_xlfn.XLOOKUP(G19, Data_Multis[Multi ID], Data_Multis[Line 3], "")</f>
        <v/>
      </c>
      <c r="H23" s="3" t="str">
        <f>_xlfn.XLOOKUP(H19, Data_Multis[Multi ID], Data_Multis[Line 3], "")</f>
        <v>SRL3 U27</v>
      </c>
      <c r="I23" s="3" t="str">
        <f>_xlfn.XLOOKUP(I19, Data_Multis[Multi ID], Data_Multis[Line 3], "")</f>
        <v>SLL3 U31</v>
      </c>
      <c r="J23"/>
      <c r="K23"/>
      <c r="L23"/>
      <c r="M23"/>
      <c r="N23"/>
      <c r="O23"/>
      <c r="P23"/>
      <c r="Q23"/>
      <c r="R23"/>
    </row>
    <row r="24" spans="1:18">
      <c r="A24" s="4" t="s">
        <v>26</v>
      </c>
      <c r="B24" s="3" t="str">
        <f>_xlfn.XLOOKUP(B19, Data_Multis[Multi ID], Data_Multis[Line 4], "")</f>
        <v/>
      </c>
      <c r="C24" s="3" t="str">
        <f>_xlfn.XLOOKUP(C19, Data_Multis[Multi ID], Data_Multis[Line 4], "")</f>
        <v/>
      </c>
      <c r="D24" s="3" t="str">
        <f>_xlfn.XLOOKUP(D19, Data_Multis[Multi ID], Data_Multis[Line 4], "")</f>
        <v>THR4 U20</v>
      </c>
      <c r="E24" s="3" t="str">
        <f>_xlfn.XLOOKUP(E19, Data_Multis[Multi ID], Data_Multis[Line 4], "")</f>
        <v/>
      </c>
      <c r="F24" s="3" t="str">
        <f>_xlfn.XLOOKUP(F19, Data_Multis[Multi ID], Data_Multis[Line 4], "")</f>
        <v/>
      </c>
      <c r="G24" s="3" t="str">
        <f>_xlfn.XLOOKUP(G19, Data_Multis[Multi ID], Data_Multis[Line 4], "")</f>
        <v/>
      </c>
      <c r="H24" s="3" t="str">
        <f>_xlfn.XLOOKUP(H19, Data_Multis[Multi ID], Data_Multis[Line 4], "")</f>
        <v>SRL4 U28</v>
      </c>
      <c r="I24" s="3" t="str">
        <f>_xlfn.XLOOKUP(I19, Data_Multis[Multi ID], Data_Multis[Line 4], "")</f>
        <v>SLL4 U32</v>
      </c>
      <c r="J24"/>
      <c r="K24"/>
      <c r="L24"/>
      <c r="M24"/>
      <c r="N24"/>
      <c r="O24"/>
      <c r="P24"/>
      <c r="Q24"/>
      <c r="R24"/>
    </row>
    <row r="26" spans="1:18">
      <c r="A26" s="4" t="s">
        <v>27</v>
      </c>
      <c r="B26" s="5" t="s">
        <v>6</v>
      </c>
      <c r="C26" s="5" t="s">
        <v>7</v>
      </c>
      <c r="D26" s="5" t="s">
        <v>8</v>
      </c>
      <c r="E26" s="5" t="s">
        <v>9</v>
      </c>
      <c r="F26" s="5" t="s">
        <v>10</v>
      </c>
      <c r="G26" s="5" t="s">
        <v>11</v>
      </c>
      <c r="H26" s="5" t="s">
        <v>12</v>
      </c>
      <c r="I26" s="5" t="s">
        <v>13</v>
      </c>
      <c r="J26" s="18"/>
    </row>
    <row r="27" spans="1:18">
      <c r="A27" s="3"/>
      <c r="B27" s="5"/>
      <c r="C27" s="5"/>
      <c r="D27" s="5"/>
      <c r="E27" s="5"/>
      <c r="F27" s="5"/>
      <c r="G27" s="5"/>
      <c r="H27" s="5"/>
      <c r="I27" s="5"/>
      <c r="J27" s="18" t="s">
        <v>16</v>
      </c>
    </row>
    <row r="28" spans="1:18">
      <c r="B28" s="3"/>
      <c r="C28" s="3"/>
      <c r="D28" s="3"/>
      <c r="E28" s="3"/>
      <c r="F28" s="3"/>
      <c r="G28" s="3"/>
      <c r="H28" s="3"/>
      <c r="I28" s="3"/>
      <c r="J28" s="18" t="s">
        <v>0</v>
      </c>
    </row>
    <row r="29" spans="1:18">
      <c r="J29" s="18"/>
    </row>
    <row r="30" spans="1:18">
      <c r="A30" s="4" t="s">
        <v>27</v>
      </c>
      <c r="B30" s="5" t="s">
        <v>6</v>
      </c>
      <c r="C30" s="5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18"/>
    </row>
    <row r="31" spans="1:18">
      <c r="A31" s="3"/>
      <c r="B31" s="5"/>
      <c r="C31" s="5"/>
      <c r="D31" s="5"/>
      <c r="E31" s="5"/>
      <c r="F31" s="5"/>
      <c r="G31" s="5"/>
      <c r="H31" s="5"/>
      <c r="I31" s="5"/>
      <c r="J31" s="18" t="s">
        <v>16</v>
      </c>
    </row>
    <row r="32" spans="1:18">
      <c r="B32" s="3"/>
      <c r="C32" s="3"/>
      <c r="D32" s="3"/>
      <c r="E32" s="3"/>
      <c r="F32" s="3"/>
      <c r="G32" s="3"/>
      <c r="H32" s="3"/>
      <c r="I32" s="3"/>
      <c r="J32" s="18" t="s">
        <v>0</v>
      </c>
    </row>
    <row r="33" spans="1:10">
      <c r="J33" s="18"/>
    </row>
    <row r="34" spans="1:10">
      <c r="A34" s="4" t="s">
        <v>27</v>
      </c>
      <c r="B34" s="5" t="s">
        <v>6</v>
      </c>
      <c r="C34" s="5" t="s">
        <v>7</v>
      </c>
      <c r="D34" s="5" t="s">
        <v>8</v>
      </c>
      <c r="E34" s="5" t="s">
        <v>9</v>
      </c>
      <c r="F34" s="5" t="s">
        <v>10</v>
      </c>
      <c r="G34" s="5" t="s">
        <v>11</v>
      </c>
      <c r="H34" s="5" t="s">
        <v>12</v>
      </c>
      <c r="I34" s="5" t="s">
        <v>13</v>
      </c>
      <c r="J34" s="18"/>
    </row>
    <row r="35" spans="1:10">
      <c r="A35" s="3"/>
      <c r="B35" s="5"/>
      <c r="C35" s="5"/>
      <c r="D35" s="5"/>
      <c r="E35" s="5"/>
      <c r="F35" s="5"/>
      <c r="G35" s="5"/>
      <c r="H35" s="5"/>
      <c r="I35" s="5"/>
      <c r="J35" s="18" t="s">
        <v>16</v>
      </c>
    </row>
    <row r="36" spans="1:10">
      <c r="B36" s="3"/>
      <c r="C36" s="3"/>
      <c r="D36" s="3"/>
      <c r="E36" s="3"/>
      <c r="F36" s="3"/>
      <c r="G36" s="3"/>
      <c r="H36" s="3"/>
      <c r="I36" s="3"/>
      <c r="J36" s="18" t="s">
        <v>0</v>
      </c>
    </row>
    <row r="37" spans="1:10">
      <c r="J37" s="18"/>
    </row>
    <row r="38" spans="1:10">
      <c r="A38" s="4" t="s">
        <v>27</v>
      </c>
      <c r="B38" s="5" t="s">
        <v>6</v>
      </c>
      <c r="C38" s="5" t="s">
        <v>7</v>
      </c>
      <c r="D38" s="5" t="s">
        <v>8</v>
      </c>
      <c r="E38" s="5" t="s">
        <v>9</v>
      </c>
      <c r="F38" s="5" t="s">
        <v>10</v>
      </c>
      <c r="G38" s="5" t="s">
        <v>11</v>
      </c>
      <c r="H38" s="5" t="s">
        <v>12</v>
      </c>
      <c r="I38" s="5" t="s">
        <v>13</v>
      </c>
      <c r="J38" s="18"/>
    </row>
    <row r="39" spans="1:10">
      <c r="A39" s="3"/>
      <c r="B39" s="5"/>
      <c r="C39" s="5"/>
      <c r="D39" s="5"/>
      <c r="E39" s="5"/>
      <c r="F39" s="5"/>
      <c r="G39" s="5"/>
      <c r="H39" s="5"/>
      <c r="I39" s="5"/>
      <c r="J39" s="18" t="s">
        <v>16</v>
      </c>
    </row>
    <row r="40" spans="1:10">
      <c r="B40" s="3"/>
      <c r="C40" s="3"/>
      <c r="D40" s="3"/>
      <c r="E40" s="3"/>
      <c r="F40" s="3"/>
      <c r="G40" s="3"/>
      <c r="H40" s="3"/>
      <c r="I40" s="3"/>
      <c r="J40" s="18" t="s">
        <v>0</v>
      </c>
    </row>
  </sheetData>
  <mergeCells count="10">
    <mergeCell ref="A1:C1"/>
    <mergeCell ref="N11:O11"/>
    <mergeCell ref="B17:B18"/>
    <mergeCell ref="C17:C18"/>
    <mergeCell ref="D17:D18"/>
    <mergeCell ref="E17:E18"/>
    <mergeCell ref="F17:F18"/>
    <mergeCell ref="G17:G18"/>
    <mergeCell ref="H17:H18"/>
    <mergeCell ref="I17:I18"/>
  </mergeCells>
  <conditionalFormatting sqref="B4:I4">
    <cfRule type="expression" dxfId="129" priority="21">
      <formula>_xlfn.XLOOKUP($A2&amp;"-"&amp;B$2, Data_Patch_Lookup, Data_Patch_Color_Lookup, "") = "black"</formula>
    </cfRule>
    <cfRule type="expression" dxfId="128" priority="22">
      <formula>_xlfn.XLOOKUP($A2&amp;"-"&amp;B$2, Data_Patch_Lookup, Data_Patch_Color_Lookup, "") = "purple"</formula>
    </cfRule>
    <cfRule type="expression" dxfId="127" priority="23">
      <formula>_xlfn.XLOOKUP($A2&amp;"-"&amp;B$2, Data_Patch_Lookup, Data_Patch_Color_Lookup, "") = "grey"</formula>
    </cfRule>
    <cfRule type="expression" dxfId="126" priority="24">
      <formula>_xlfn.XLOOKUP($A2&amp;"-"&amp;B$2, Data_Patch_Lookup, Data_Patch_Color_Lookup, "") = "brown"</formula>
    </cfRule>
    <cfRule type="expression" dxfId="125" priority="25">
      <formula>_xlfn.XLOOKUP($A2&amp;"-"&amp;B$2, Data_Patch_Lookup, Data_Patch_Color_Lookup, "") = "yellow"</formula>
    </cfRule>
    <cfRule type="expression" dxfId="124" priority="26">
      <formula>_xlfn.XLOOKUP($A2&amp;"-"&amp;B$2, Data_Patch_Lookup, Data_Patch_Color_Lookup, "") = "orange"</formula>
    </cfRule>
    <cfRule type="expression" dxfId="123" priority="27">
      <formula>_xlfn.XLOOKUP($A2&amp;"-"&amp;B$2, Data_Patch_Lookup, Data_Patch_Color_Lookup, "") = "green"</formula>
    </cfRule>
    <cfRule type="expression" dxfId="122" priority="28">
      <formula>_xlfn.XLOOKUP($A2&amp;"-"&amp;B$2, Data_Patch_Lookup, Data_Patch_Color_Lookup, "") = "red"</formula>
    </cfRule>
    <cfRule type="expression" dxfId="121" priority="29">
      <formula>_xlfn.XLOOKUP($A2&amp;"-"&amp;B$2, Data_Patch_Lookup, Data_Patch_Color_Lookup, "") = "white"</formula>
    </cfRule>
    <cfRule type="expression" dxfId="120" priority="30">
      <formula>_xlfn.XLOOKUP($A2&amp;"-"&amp;B$2, Data_Patch_Lookup, Data_Patch_Color_Lookup, "") = "blue"</formula>
    </cfRule>
  </conditionalFormatting>
  <conditionalFormatting sqref="B9:I9">
    <cfRule type="expression" dxfId="119" priority="11">
      <formula>_xlfn.XLOOKUP($A7&amp;"-"&amp;B$2, Data_Patch_Lookup, Data_Patch_Color_Lookup, "") = "black"</formula>
    </cfRule>
    <cfRule type="expression" dxfId="118" priority="12">
      <formula>_xlfn.XLOOKUP($A7&amp;"-"&amp;B$2, Data_Patch_Lookup, Data_Patch_Color_Lookup, "") = "purple"</formula>
    </cfRule>
    <cfRule type="expression" dxfId="117" priority="13">
      <formula>_xlfn.XLOOKUP($A7&amp;"-"&amp;B$2, Data_Patch_Lookup, Data_Patch_Color_Lookup, "") = "grey"</formula>
    </cfRule>
    <cfRule type="expression" dxfId="116" priority="14">
      <formula>_xlfn.XLOOKUP($A7&amp;"-"&amp;B$2, Data_Patch_Lookup, Data_Patch_Color_Lookup, "") = "brown"</formula>
    </cfRule>
    <cfRule type="expression" dxfId="115" priority="15">
      <formula>_xlfn.XLOOKUP($A7&amp;"-"&amp;B$2, Data_Patch_Lookup, Data_Patch_Color_Lookup, "") = "yellow"</formula>
    </cfRule>
    <cfRule type="expression" dxfId="114" priority="16">
      <formula>_xlfn.XLOOKUP($A7&amp;"-"&amp;B$2, Data_Patch_Lookup, Data_Patch_Color_Lookup, "") = "orange"</formula>
    </cfRule>
    <cfRule type="expression" dxfId="113" priority="17">
      <formula>_xlfn.XLOOKUP($A7&amp;"-"&amp;B$2, Data_Patch_Lookup, Data_Patch_Color_Lookup, "") = "green"</formula>
    </cfRule>
    <cfRule type="expression" dxfId="112" priority="18">
      <formula>_xlfn.XLOOKUP($A7&amp;"-"&amp;B$2, Data_Patch_Lookup, Data_Patch_Color_Lookup, "") = "red"</formula>
    </cfRule>
    <cfRule type="expression" dxfId="111" priority="19">
      <formula>_xlfn.XLOOKUP($A7&amp;"-"&amp;B$2, Data_Patch_Lookup, Data_Patch_Color_Lookup, "") = "white"</formula>
    </cfRule>
    <cfRule type="expression" dxfId="110" priority="20">
      <formula>_xlfn.XLOOKUP($A7&amp;"-"&amp;B$2, Data_Patch_Lookup, Data_Patch_Color_Lookup, "") = "blue"</formula>
    </cfRule>
  </conditionalFormatting>
  <conditionalFormatting sqref="B14:I14">
    <cfRule type="expression" dxfId="109" priority="1">
      <formula>_xlfn.XLOOKUP($A12&amp;"-"&amp;B$2, Data_Patch_Lookup, Data_Patch_Color_Lookup, "") = "black"</formula>
    </cfRule>
    <cfRule type="expression" dxfId="108" priority="2">
      <formula>_xlfn.XLOOKUP($A12&amp;"-"&amp;B$2, Data_Patch_Lookup, Data_Patch_Color_Lookup, "") = "purple"</formula>
    </cfRule>
    <cfRule type="expression" dxfId="107" priority="3">
      <formula>_xlfn.XLOOKUP($A12&amp;"-"&amp;B$2, Data_Patch_Lookup, Data_Patch_Color_Lookup, "") = "grey"</formula>
    </cfRule>
    <cfRule type="expression" dxfId="106" priority="4">
      <formula>_xlfn.XLOOKUP($A12&amp;"-"&amp;B$2, Data_Patch_Lookup, Data_Patch_Color_Lookup, "") = "brown"</formula>
    </cfRule>
    <cfRule type="expression" dxfId="105" priority="5">
      <formula>_xlfn.XLOOKUP($A12&amp;"-"&amp;B$2, Data_Patch_Lookup, Data_Patch_Color_Lookup, "") = "yellow"</formula>
    </cfRule>
    <cfRule type="expression" dxfId="104" priority="6">
      <formula>_xlfn.XLOOKUP($A12&amp;"-"&amp;B$2, Data_Patch_Lookup, Data_Patch_Color_Lookup, "") = "orange"</formula>
    </cfRule>
    <cfRule type="expression" dxfId="103" priority="7">
      <formula>_xlfn.XLOOKUP($A12&amp;"-"&amp;B$2, Data_Patch_Lookup, Data_Patch_Color_Lookup, "") = "green"</formula>
    </cfRule>
    <cfRule type="expression" dxfId="102" priority="8">
      <formula>_xlfn.XLOOKUP($A12&amp;"-"&amp;B$2, Data_Patch_Lookup, Data_Patch_Color_Lookup, "") = "red"</formula>
    </cfRule>
    <cfRule type="expression" dxfId="101" priority="9">
      <formula>_xlfn.XLOOKUP($A12&amp;"-"&amp;B$2, Data_Patch_Lookup, Data_Patch_Color_Lookup, "") = "white"</formula>
    </cfRule>
    <cfRule type="expression" dxfId="100" priority="10">
      <formula>_xlfn.XLOOKUP($A12&amp;"-"&amp;B$2, Data_Patch_Lookup, Data_Patch_Color_Lookup, "") = "blue"</formula>
    </cfRule>
  </conditionalFormatting>
  <conditionalFormatting sqref="B20:I20">
    <cfRule type="expression" dxfId="99" priority="114" stopIfTrue="1">
      <formula>_xlfn.XLOOKUP(B20,#REF!,#REF!, "") = "purple"</formula>
    </cfRule>
    <cfRule type="expression" dxfId="98" priority="115" stopIfTrue="1">
      <formula>_xlfn.XLOOKUP(B20,#REF!,#REF!, "") = "brown"</formula>
    </cfRule>
    <cfRule type="expression" dxfId="97" priority="116" stopIfTrue="1">
      <formula>_xlfn.XLOOKUP(B20,#REF!,#REF!, "") = "orange"</formula>
    </cfRule>
    <cfRule type="expression" dxfId="96" priority="117" stopIfTrue="1">
      <formula>_xlfn.XLOOKUP(B20,#REF!,#REF!, "") = "yellow"</formula>
    </cfRule>
    <cfRule type="expression" dxfId="95" priority="118" stopIfTrue="1">
      <formula>_xlfn.XLOOKUP(B20,#REF!,#REF!, "") = "grey"</formula>
    </cfRule>
    <cfRule type="expression" dxfId="94" priority="119" stopIfTrue="1">
      <formula>_xlfn.XLOOKUP(B20,#REF!,#REF!, "") = "green"</formula>
    </cfRule>
    <cfRule type="expression" dxfId="93" priority="120" stopIfTrue="1">
      <formula>_xlfn.XLOOKUP(B20,#REF!,#REF!, "") = "blue"</formula>
    </cfRule>
    <cfRule type="expression" dxfId="92" priority="121" stopIfTrue="1">
      <formula>_xlfn.XLOOKUP(B20,#REF!,#REF!, "") = "red"</formula>
    </cfRule>
    <cfRule type="expression" dxfId="91" priority="122" stopIfTrue="1">
      <formula>_xlfn.XLOOKUP(B20,#REF!,#REF!, "") = "white"</formula>
    </cfRule>
  </conditionalFormatting>
  <conditionalFormatting sqref="N2">
    <cfRule type="cellIs" dxfId="90" priority="31" operator="greaterThan">
      <formula>$N$3</formula>
    </cfRule>
  </conditionalFormatting>
  <pageMargins left="0.7" right="0.7" top="0.75" bottom="0.75" header="0.3" footer="0.3"/>
  <pageSetup scale="5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4716-4E04-4632-A383-C81EC9F53B7D}">
  <sheetPr>
    <pageSetUpPr fitToPage="1"/>
  </sheetPr>
  <dimension ref="A1:R28"/>
  <sheetViews>
    <sheetView zoomScaleNormal="100" workbookViewId="0">
      <selection activeCell="G10" sqref="G10"/>
    </sheetView>
  </sheetViews>
  <sheetFormatPr defaultColWidth="9.109375" defaultRowHeight="14.4"/>
  <cols>
    <col min="1" max="1" width="18.77734375" style="1" customWidth="1"/>
    <col min="2" max="12" width="12.6640625" style="1" customWidth="1"/>
    <col min="13" max="13" width="13.6640625" style="1" customWidth="1"/>
    <col min="14" max="16" width="12.6640625" style="1" customWidth="1"/>
    <col min="17" max="17" width="21.6640625" style="1" customWidth="1"/>
    <col min="18" max="16384" width="9.109375" style="1"/>
  </cols>
  <sheetData>
    <row r="1" spans="1:18" ht="75.599999999999994" customHeight="1">
      <c r="A1" s="29" t="s">
        <v>47</v>
      </c>
      <c r="B1" s="29"/>
      <c r="C1" s="29"/>
      <c r="D1" s="20"/>
      <c r="E1" s="20"/>
      <c r="F1" s="20"/>
      <c r="G1" s="20"/>
      <c r="H1" s="20"/>
      <c r="I1" s="20"/>
      <c r="J1" s="21" t="str">
        <f>DATA!$G$2</f>
        <v>Untitled Show</v>
      </c>
      <c r="Q1" s="1" t="e" vm="1">
        <v>#VALUE!</v>
      </c>
    </row>
    <row r="2" spans="1:18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M2" s="17" t="s">
        <v>43</v>
      </c>
      <c r="N2" s="1">
        <f>COUNTA(Data_Patch[Outlet ID])</f>
        <v>144</v>
      </c>
    </row>
    <row r="3" spans="1:18">
      <c r="A3" s="3" t="s">
        <v>14</v>
      </c>
      <c r="B3" s="3">
        <f>_xlfn.XLOOKUP($A$2&amp;"-"&amp;B$2, Data_Patch[Outlet ID], Data_Patch[Universe], "")</f>
        <v>1</v>
      </c>
      <c r="C3" s="3">
        <f>_xlfn.XLOOKUP($A$2&amp;"-"&amp;C$2, Data_Patch[Outlet ID], Data_Patch[Universe], "")</f>
        <v>2</v>
      </c>
      <c r="D3" s="3">
        <f>_xlfn.XLOOKUP($A$2&amp;"-"&amp;D$2, Data_Patch[Outlet ID], Data_Patch[Universe], "")</f>
        <v>0</v>
      </c>
      <c r="E3" s="3">
        <f>_xlfn.XLOOKUP($A$2&amp;"-"&amp;E$2, Data_Patch[Outlet ID], Data_Patch[Universe], "")</f>
        <v>0</v>
      </c>
      <c r="F3" s="3">
        <f>_xlfn.XLOOKUP($A$2&amp;"-"&amp;F$2, Data_Patch[Outlet ID], Data_Patch[Universe], "")</f>
        <v>12</v>
      </c>
      <c r="G3" s="3">
        <f>_xlfn.XLOOKUP($A$2&amp;"-"&amp;G$2, Data_Patch[Outlet ID], Data_Patch[Universe], "")</f>
        <v>13</v>
      </c>
      <c r="H3" s="3">
        <f>_xlfn.XLOOKUP($A$2&amp;"-"&amp;H$2, Data_Patch[Outlet ID], Data_Patch[Universe], "")</f>
        <v>0</v>
      </c>
      <c r="I3" s="3">
        <f>_xlfn.XLOOKUP($A$2&amp;"-"&amp;I$2, Data_Patch[Outlet ID], Data_Patch[Universe], "")</f>
        <v>0</v>
      </c>
      <c r="J3" s="18" t="s">
        <v>1</v>
      </c>
      <c r="M3" s="17" t="s">
        <v>42</v>
      </c>
      <c r="N3" s="1">
        <v>16</v>
      </c>
    </row>
    <row r="4" spans="1:18">
      <c r="A4" s="3" t="s">
        <v>15</v>
      </c>
      <c r="B4" s="3" t="str">
        <f>_xlfn.XLOOKUP($A$2&amp;"-"&amp;B$2, Data_Patch[Outlet ID], Data_Patch[Cable], "")</f>
        <v>DSB1</v>
      </c>
      <c r="C4" s="3" t="str">
        <f>_xlfn.XLOOKUP($A$2&amp;"-"&amp;C$2, Data_Patch[Outlet ID], Data_Patch[Cable], "")</f>
        <v>DSB2</v>
      </c>
      <c r="D4" s="3" t="str">
        <f>_xlfn.XLOOKUP($A$2&amp;"-"&amp;D$2, Data_Patch[Outlet ID], Data_Patch[Cable], "")</f>
        <v/>
      </c>
      <c r="E4" s="3" t="str">
        <f>_xlfn.XLOOKUP($A$2&amp;"-"&amp;E$2, Data_Patch[Outlet ID], Data_Patch[Cable], "")</f>
        <v/>
      </c>
      <c r="F4" s="3" t="str">
        <f>_xlfn.XLOOKUP($A$2&amp;"-"&amp;F$2, Data_Patch[Outlet ID], Data_Patch[Cable], "")</f>
        <v>SLW1</v>
      </c>
      <c r="G4" s="3" t="str">
        <f>_xlfn.XLOOKUP($A$2&amp;"-"&amp;G$2, Data_Patch[Outlet ID], Data_Patch[Cable], "")</f>
        <v>SLW2</v>
      </c>
      <c r="H4" s="3" t="str">
        <f>_xlfn.XLOOKUP($A$2&amp;"-"&amp;H$2, Data_Patch[Outlet ID], Data_Patch[Cable], "")</f>
        <v/>
      </c>
      <c r="I4" s="3" t="str">
        <f>_xlfn.XLOOKUP($A$2&amp;"-"&amp;I$2, Data_Patch[Outlet ID], Data_Patch[Cable], "")</f>
        <v/>
      </c>
      <c r="J4" s="18" t="s">
        <v>16</v>
      </c>
    </row>
    <row r="5" spans="1:18">
      <c r="A5" s="3"/>
      <c r="B5" s="3" t="str">
        <f>_xlfn.XLOOKUP($A$2&amp;"-"&amp;B$2, Data_Patch[Outlet ID], Data_Patch[Type], "")</f>
        <v>Sneak</v>
      </c>
      <c r="C5" s="3" t="str">
        <f>_xlfn.XLOOKUP($A$2&amp;"-"&amp;C$2, Data_Patch[Outlet ID], Data_Patch[Type], "")</f>
        <v>Sneak</v>
      </c>
      <c r="D5" s="3" t="str">
        <f>_xlfn.XLOOKUP($A$2&amp;"-"&amp;D$2, Data_Patch[Outlet ID], Data_Patch[Type], "")</f>
        <v/>
      </c>
      <c r="E5" s="3" t="str">
        <f>_xlfn.XLOOKUP($A$2&amp;"-"&amp;E$2, Data_Patch[Outlet ID], Data_Patch[Type], "")</f>
        <v/>
      </c>
      <c r="F5" s="3" t="str">
        <f>_xlfn.XLOOKUP($A$2&amp;"-"&amp;F$2, Data_Patch[Outlet ID], Data_Patch[Type], "")</f>
        <v>Sneak</v>
      </c>
      <c r="G5" s="3" t="str">
        <f>_xlfn.XLOOKUP($A$2&amp;"-"&amp;G$2, Data_Patch[Outlet ID], Data_Patch[Type], "")</f>
        <v>Sneak</v>
      </c>
      <c r="H5" s="3" t="str">
        <f>_xlfn.XLOOKUP($A$2&amp;"-"&amp;H$2, Data_Patch[Outlet ID], Data_Patch[Type], "")</f>
        <v/>
      </c>
      <c r="I5" s="3" t="str">
        <f>_xlfn.XLOOKUP($A$2&amp;"-"&amp;I$2, Data_Patch[Outlet ID], Data_Patch[Type], "")</f>
        <v/>
      </c>
      <c r="J5" s="18" t="s">
        <v>0</v>
      </c>
    </row>
    <row r="6" spans="1:18">
      <c r="J6" s="18"/>
    </row>
    <row r="7" spans="1:18">
      <c r="A7" s="2" t="s">
        <v>17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18"/>
    </row>
    <row r="8" spans="1:18">
      <c r="A8" s="3" t="s">
        <v>14</v>
      </c>
      <c r="B8" s="3">
        <f>_xlfn.XLOOKUP($A$7&amp;"-"&amp;B$7, Data_Patch[Outlet ID], Data_Patch[Universe], "")</f>
        <v>0</v>
      </c>
      <c r="C8" s="3">
        <f>_xlfn.XLOOKUP($A$7&amp;"-"&amp;C$7, Data_Patch[Outlet ID], Data_Patch[Universe], "")</f>
        <v>0</v>
      </c>
      <c r="D8" s="3">
        <f>_xlfn.XLOOKUP($A$7&amp;"-"&amp;D$7, Data_Patch[Outlet ID], Data_Patch[Universe], "")</f>
        <v>0</v>
      </c>
      <c r="E8" s="3">
        <f>_xlfn.XLOOKUP($A$7&amp;"-"&amp;E$7, Data_Patch[Outlet ID], Data_Patch[Universe], "")</f>
        <v>0</v>
      </c>
      <c r="F8" s="3">
        <f>_xlfn.XLOOKUP($A$7&amp;"-"&amp;F$7, Data_Patch[Outlet ID], Data_Patch[Universe], "")</f>
        <v>0</v>
      </c>
      <c r="G8" s="3">
        <f>_xlfn.XLOOKUP($A$7&amp;"-"&amp;G$7, Data_Patch[Outlet ID], Data_Patch[Universe], "")</f>
        <v>0</v>
      </c>
      <c r="H8" s="3">
        <f>_xlfn.XLOOKUP($A$7&amp;"-"&amp;H$7, Data_Patch[Outlet ID], Data_Patch[Universe], "")</f>
        <v>0</v>
      </c>
      <c r="I8" s="3">
        <f>_xlfn.XLOOKUP($A$7&amp;"-"&amp;I$7, Data_Patch[Outlet ID], Data_Patch[Universe], "")</f>
        <v>0</v>
      </c>
      <c r="J8" s="18" t="s">
        <v>1</v>
      </c>
    </row>
    <row r="9" spans="1:18">
      <c r="A9" s="3" t="s">
        <v>15</v>
      </c>
      <c r="B9" s="3" t="str">
        <f>_xlfn.XLOOKUP($A$7&amp;"-"&amp;B$7, Data_Patch[Outlet ID], Data_Patch[Cable], "")</f>
        <v/>
      </c>
      <c r="C9" s="3" t="str">
        <f>_xlfn.XLOOKUP($A$7&amp;"-"&amp;C$7, Data_Patch[Outlet ID], Data_Patch[Cable], "")</f>
        <v/>
      </c>
      <c r="D9" s="3" t="str">
        <f>_xlfn.XLOOKUP($A$7&amp;"-"&amp;D$7, Data_Patch[Outlet ID], Data_Patch[Cable], "")</f>
        <v/>
      </c>
      <c r="E9" s="3" t="str">
        <f>_xlfn.XLOOKUP($A$7&amp;"-"&amp;E$7, Data_Patch[Outlet ID], Data_Patch[Cable], "")</f>
        <v/>
      </c>
      <c r="F9" s="3" t="str">
        <f>_xlfn.XLOOKUP($A$7&amp;"-"&amp;F$7, Data_Patch[Outlet ID], Data_Patch[Cable], "")</f>
        <v/>
      </c>
      <c r="G9" s="3" t="str">
        <f>_xlfn.XLOOKUP($A$7&amp;"-"&amp;G$7, Data_Patch[Outlet ID], Data_Patch[Cable], "")</f>
        <v/>
      </c>
      <c r="H9" s="3" t="str">
        <f>_xlfn.XLOOKUP($A$7&amp;"-"&amp;H$7, Data_Patch[Outlet ID], Data_Patch[Cable], "")</f>
        <v/>
      </c>
      <c r="I9" s="3" t="str">
        <f>_xlfn.XLOOKUP($A$7&amp;"-"&amp;I$7, Data_Patch[Outlet ID], Data_Patch[Cable], "")</f>
        <v/>
      </c>
      <c r="J9" s="18" t="s">
        <v>16</v>
      </c>
    </row>
    <row r="10" spans="1:18">
      <c r="A10" s="3"/>
      <c r="B10" s="3" t="str">
        <f>_xlfn.XLOOKUP($A$7&amp;"-"&amp;B$7, Data_Patch[Outlet ID], Data_Patch[Type], "")</f>
        <v/>
      </c>
      <c r="C10" s="3" t="str">
        <f>_xlfn.XLOOKUP($A$7&amp;"-"&amp;C$7, Data_Patch[Outlet ID], Data_Patch[Type], "")</f>
        <v/>
      </c>
      <c r="D10" s="3" t="str">
        <f>_xlfn.XLOOKUP($A$7&amp;"-"&amp;D$7, Data_Patch[Outlet ID], Data_Patch[Type], "")</f>
        <v/>
      </c>
      <c r="E10" s="3" t="str">
        <f>_xlfn.XLOOKUP($A$7&amp;"-"&amp;E$7, Data_Patch[Outlet ID], Data_Patch[Type], "")</f>
        <v/>
      </c>
      <c r="F10" s="3" t="str">
        <f>_xlfn.XLOOKUP($A$7&amp;"-"&amp;F$7, Data_Patch[Outlet ID], Data_Patch[Type], "")</f>
        <v/>
      </c>
      <c r="G10" s="3" t="str">
        <f>_xlfn.XLOOKUP($A$7&amp;"-"&amp;G$7, Data_Patch[Outlet ID], Data_Patch[Type], "")</f>
        <v/>
      </c>
      <c r="H10" s="3" t="str">
        <f>_xlfn.XLOOKUP($A$7&amp;"-"&amp;H$7, Data_Patch[Outlet ID], Data_Patch[Type], "")</f>
        <v/>
      </c>
      <c r="I10" s="3" t="str">
        <f>_xlfn.XLOOKUP($A$7&amp;"-"&amp;I$7, Data_Patch[Outlet ID], Data_Patch[Type], "")</f>
        <v/>
      </c>
      <c r="J10" s="18" t="s">
        <v>0</v>
      </c>
    </row>
    <row r="11" spans="1:18">
      <c r="J11" s="18"/>
    </row>
    <row r="12" spans="1:18" ht="6" customHeight="1">
      <c r="B12" s="30"/>
      <c r="C12" s="31"/>
      <c r="D12" s="32"/>
      <c r="E12" s="33"/>
      <c r="F12" s="35"/>
      <c r="G12" s="36"/>
      <c r="H12" s="37"/>
      <c r="I12" s="38"/>
      <c r="J12"/>
      <c r="K12"/>
      <c r="L12"/>
      <c r="M12"/>
      <c r="N12"/>
      <c r="O12"/>
      <c r="P12"/>
      <c r="Q12"/>
      <c r="R12"/>
    </row>
    <row r="13" spans="1:18" ht="6" customHeight="1">
      <c r="B13" s="30"/>
      <c r="C13" s="31"/>
      <c r="D13" s="32"/>
      <c r="E13" s="33"/>
      <c r="F13" s="35"/>
      <c r="G13" s="36"/>
      <c r="H13" s="37"/>
      <c r="I13" s="38"/>
      <c r="J13"/>
      <c r="K13"/>
      <c r="L13"/>
      <c r="M13"/>
      <c r="N13"/>
      <c r="O13"/>
      <c r="P13"/>
      <c r="Q13"/>
      <c r="R13"/>
    </row>
    <row r="14" spans="1:18" ht="15" hidden="1" customHeight="1">
      <c r="B14" s="3">
        <v>1</v>
      </c>
      <c r="C14" s="3">
        <v>2</v>
      </c>
      <c r="D14" s="1">
        <v>3</v>
      </c>
      <c r="E14" s="1">
        <v>4</v>
      </c>
      <c r="F14" s="1">
        <v>5</v>
      </c>
      <c r="G14" s="1">
        <v>6</v>
      </c>
      <c r="H14" s="1">
        <v>7</v>
      </c>
      <c r="I14" s="1">
        <v>8</v>
      </c>
      <c r="J14"/>
      <c r="K14"/>
      <c r="L14"/>
      <c r="M14"/>
      <c r="N14"/>
      <c r="O14"/>
      <c r="P14"/>
      <c r="Q14"/>
      <c r="R14"/>
    </row>
    <row r="15" spans="1:18">
      <c r="A15" s="6" t="s">
        <v>21</v>
      </c>
      <c r="B15" s="3" t="str">
        <f>_xlfn.XLOOKUP(B14, Data_Multis[Multi ID], Data_Multis[Multi Name], "")</f>
        <v>DSB1</v>
      </c>
      <c r="C15" s="3" t="str">
        <f>_xlfn.XLOOKUP(C14, Data_Multis[Multi ID], Data_Multis[Multi Name], "")</f>
        <v>SLW1</v>
      </c>
      <c r="D15" s="3" t="str">
        <f>_xlfn.XLOOKUP(D14, Data_Multis[Multi ID], Data_Multis[Multi Name], "")</f>
        <v>THR1</v>
      </c>
      <c r="E15" s="3" t="str">
        <f>_xlfn.XLOOKUP(E14, Data_Multis[Multi ID], Data_Multis[Multi Name], "")</f>
        <v>THR2</v>
      </c>
      <c r="F15" s="3" t="str">
        <f>_xlfn.XLOOKUP(F14, Data_Multis[Multi ID], Data_Multis[Multi Name], "")</f>
        <v>DSL1</v>
      </c>
      <c r="G15" s="3" t="str">
        <f>_xlfn.XLOOKUP(G14, Data_Multis[Multi ID], Data_Multis[Multi Name], "")</f>
        <v>SLWF1</v>
      </c>
      <c r="H15" s="3" t="str">
        <f>_xlfn.XLOOKUP(H14, Data_Multis[Multi ID], Data_Multis[Multi Name], "")</f>
        <v>SRL1</v>
      </c>
      <c r="I15" s="3" t="str">
        <f>_xlfn.XLOOKUP(I14, Data_Multis[Multi ID], Data_Multis[Multi Name], "")</f>
        <v>SLL1</v>
      </c>
      <c r="J15"/>
      <c r="K15"/>
      <c r="L15"/>
      <c r="M15"/>
      <c r="N15"/>
      <c r="O15"/>
      <c r="P15"/>
      <c r="Q15"/>
      <c r="R15"/>
    </row>
    <row r="16" spans="1:18">
      <c r="A16" s="4" t="s">
        <v>23</v>
      </c>
      <c r="B16" s="3" t="str">
        <f>_xlfn.XLOOKUP(B14, Data_Multis[Multi ID], Data_Multis[Line 1], "")</f>
        <v>DSB1 U1</v>
      </c>
      <c r="C16" s="3" t="str">
        <f>_xlfn.XLOOKUP(C14, Data_Multis[Multi ID], Data_Multis[Line 1], "")</f>
        <v>SLW1 U12</v>
      </c>
      <c r="D16" s="3" t="str">
        <f>_xlfn.XLOOKUP(D14, Data_Multis[Multi ID], Data_Multis[Line 1], "")</f>
        <v>THR1 U17</v>
      </c>
      <c r="E16" s="3" t="str">
        <f>_xlfn.XLOOKUP(E14, Data_Multis[Multi ID], Data_Multis[Line 1], "")</f>
        <v>THR5 U21</v>
      </c>
      <c r="F16" s="3" t="str">
        <f>_xlfn.XLOOKUP(F14, Data_Multis[Multi ID], Data_Multis[Line 1], "")</f>
        <v>DSL1 U22</v>
      </c>
      <c r="G16" s="3" t="str">
        <f>_xlfn.XLOOKUP(G14, Data_Multis[Multi ID], Data_Multis[Line 1], "")</f>
        <v>SLWF1 U24</v>
      </c>
      <c r="H16" s="3" t="str">
        <f>_xlfn.XLOOKUP(H14, Data_Multis[Multi ID], Data_Multis[Line 1], "")</f>
        <v>SRL1 U25</v>
      </c>
      <c r="I16" s="3" t="str">
        <f>_xlfn.XLOOKUP(I14, Data_Multis[Multi ID], Data_Multis[Line 1], "")</f>
        <v>SLL1 U29</v>
      </c>
      <c r="J16"/>
      <c r="K16"/>
      <c r="L16"/>
      <c r="M16"/>
      <c r="N16"/>
      <c r="O16"/>
      <c r="P16"/>
      <c r="Q16"/>
      <c r="R16"/>
    </row>
    <row r="17" spans="1:18">
      <c r="A17" s="4" t="s">
        <v>24</v>
      </c>
      <c r="B17" s="3" t="str">
        <f>_xlfn.XLOOKUP(B14, Data_Multis[Multi ID], Data_Multis[Line 2], "")</f>
        <v>DSB2 U2</v>
      </c>
      <c r="C17" s="3" t="str">
        <f>_xlfn.XLOOKUP(C14, Data_Multis[Multi ID], Data_Multis[Line 2], "")</f>
        <v>SLW2 U13</v>
      </c>
      <c r="D17" s="3" t="str">
        <f>_xlfn.XLOOKUP(D14, Data_Multis[Multi ID], Data_Multis[Line 2], "")</f>
        <v>THR2 U18</v>
      </c>
      <c r="E17" s="3" t="str">
        <f>_xlfn.XLOOKUP(E14, Data_Multis[Multi ID], Data_Multis[Line 2], "")</f>
        <v/>
      </c>
      <c r="F17" s="3" t="str">
        <f>_xlfn.XLOOKUP(F14, Data_Multis[Multi ID], Data_Multis[Line 2], "")</f>
        <v>DSL2 U23</v>
      </c>
      <c r="G17" s="3" t="str">
        <f>_xlfn.XLOOKUP(G14, Data_Multis[Multi ID], Data_Multis[Line 2], "")</f>
        <v/>
      </c>
      <c r="H17" s="3" t="str">
        <f>_xlfn.XLOOKUP(H14, Data_Multis[Multi ID], Data_Multis[Line 2], "")</f>
        <v>SRL2 U26</v>
      </c>
      <c r="I17" s="3" t="str">
        <f>_xlfn.XLOOKUP(I14, Data_Multis[Multi ID], Data_Multis[Line 2], "")</f>
        <v>SLL2 U30</v>
      </c>
      <c r="J17"/>
      <c r="K17"/>
      <c r="L17"/>
      <c r="M17"/>
      <c r="N17"/>
      <c r="O17"/>
      <c r="P17"/>
      <c r="Q17"/>
      <c r="R17"/>
    </row>
    <row r="18" spans="1:18">
      <c r="A18" s="4" t="s">
        <v>25</v>
      </c>
      <c r="B18" s="3" t="str">
        <f>_xlfn.XLOOKUP(B14, Data_Multis[Multi ID], Data_Multis[Line 3], "")</f>
        <v/>
      </c>
      <c r="C18" s="3" t="str">
        <f>_xlfn.XLOOKUP(C14, Data_Multis[Multi ID], Data_Multis[Line 3], "")</f>
        <v/>
      </c>
      <c r="D18" s="3" t="str">
        <f>_xlfn.XLOOKUP(D14, Data_Multis[Multi ID], Data_Multis[Line 3], "")</f>
        <v>THR3 U19</v>
      </c>
      <c r="E18" s="3" t="str">
        <f>_xlfn.XLOOKUP(E14, Data_Multis[Multi ID], Data_Multis[Line 3], "")</f>
        <v/>
      </c>
      <c r="F18" s="3" t="str">
        <f>_xlfn.XLOOKUP(F14, Data_Multis[Multi ID], Data_Multis[Line 3], "")</f>
        <v/>
      </c>
      <c r="G18" s="3" t="str">
        <f>_xlfn.XLOOKUP(G14, Data_Multis[Multi ID], Data_Multis[Line 3], "")</f>
        <v/>
      </c>
      <c r="H18" s="3" t="str">
        <f>_xlfn.XLOOKUP(H14, Data_Multis[Multi ID], Data_Multis[Line 3], "")</f>
        <v>SRL3 U27</v>
      </c>
      <c r="I18" s="3" t="str">
        <f>_xlfn.XLOOKUP(I14, Data_Multis[Multi ID], Data_Multis[Line 3], "")</f>
        <v>SLL3 U31</v>
      </c>
      <c r="J18"/>
      <c r="K18"/>
      <c r="L18"/>
      <c r="M18"/>
      <c r="N18"/>
      <c r="O18"/>
      <c r="P18"/>
      <c r="Q18"/>
      <c r="R18"/>
    </row>
    <row r="19" spans="1:18">
      <c r="A19" s="4" t="s">
        <v>26</v>
      </c>
      <c r="B19" s="3" t="str">
        <f>_xlfn.XLOOKUP(B14, Data_Multis[Multi ID], Data_Multis[Line 4], "")</f>
        <v/>
      </c>
      <c r="C19" s="3" t="str">
        <f>_xlfn.XLOOKUP(C14, Data_Multis[Multi ID], Data_Multis[Line 4], "")</f>
        <v/>
      </c>
      <c r="D19" s="3" t="str">
        <f>_xlfn.XLOOKUP(D14, Data_Multis[Multi ID], Data_Multis[Line 4], "")</f>
        <v>THR4 U20</v>
      </c>
      <c r="E19" s="3" t="str">
        <f>_xlfn.XLOOKUP(E14, Data_Multis[Multi ID], Data_Multis[Line 4], "")</f>
        <v/>
      </c>
      <c r="F19" s="3" t="str">
        <f>_xlfn.XLOOKUP(F14, Data_Multis[Multi ID], Data_Multis[Line 4], "")</f>
        <v/>
      </c>
      <c r="G19" s="3" t="str">
        <f>_xlfn.XLOOKUP(G14, Data_Multis[Multi ID], Data_Multis[Line 4], "")</f>
        <v/>
      </c>
      <c r="H19" s="3" t="str">
        <f>_xlfn.XLOOKUP(H14, Data_Multis[Multi ID], Data_Multis[Line 4], "")</f>
        <v>SRL4 U28</v>
      </c>
      <c r="I19" s="3" t="str">
        <f>_xlfn.XLOOKUP(I14, Data_Multis[Multi ID], Data_Multis[Line 4], "")</f>
        <v>SLL4 U32</v>
      </c>
      <c r="J19"/>
      <c r="K19"/>
      <c r="L19"/>
      <c r="M19"/>
      <c r="N19"/>
      <c r="O19"/>
      <c r="P19"/>
      <c r="Q19"/>
      <c r="R19"/>
    </row>
    <row r="21" spans="1:18">
      <c r="A21" s="4" t="s">
        <v>27</v>
      </c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  <c r="I21" s="5" t="s">
        <v>13</v>
      </c>
      <c r="J21" s="18"/>
    </row>
    <row r="22" spans="1:18">
      <c r="A22" s="3"/>
      <c r="B22" s="5"/>
      <c r="C22" s="5"/>
      <c r="D22" s="5"/>
      <c r="E22" s="5"/>
      <c r="F22" s="5"/>
      <c r="G22" s="5"/>
      <c r="H22" s="5"/>
      <c r="I22" s="5"/>
      <c r="J22" s="18" t="s">
        <v>16</v>
      </c>
    </row>
    <row r="23" spans="1:18">
      <c r="B23" s="3"/>
      <c r="C23" s="3"/>
      <c r="D23" s="3"/>
      <c r="E23" s="3"/>
      <c r="F23" s="3"/>
      <c r="G23" s="3"/>
      <c r="H23" s="3"/>
      <c r="I23" s="3"/>
      <c r="J23" s="18" t="s">
        <v>0</v>
      </c>
    </row>
    <row r="24" spans="1:18">
      <c r="J24" s="18"/>
    </row>
    <row r="25" spans="1:18">
      <c r="A25" s="4" t="s">
        <v>27</v>
      </c>
      <c r="B25" s="5" t="s">
        <v>6</v>
      </c>
      <c r="C25" s="5" t="s">
        <v>7</v>
      </c>
      <c r="D25" s="5" t="s">
        <v>8</v>
      </c>
      <c r="E25" s="5" t="s">
        <v>9</v>
      </c>
      <c r="F25" s="5" t="s">
        <v>10</v>
      </c>
      <c r="G25" s="5" t="s">
        <v>11</v>
      </c>
      <c r="H25" s="5" t="s">
        <v>12</v>
      </c>
      <c r="I25" s="5" t="s">
        <v>13</v>
      </c>
      <c r="J25" s="18"/>
    </row>
    <row r="26" spans="1:18">
      <c r="A26" s="3"/>
      <c r="B26" s="5"/>
      <c r="C26" s="5"/>
      <c r="D26" s="5"/>
      <c r="E26" s="5"/>
      <c r="F26" s="5"/>
      <c r="G26" s="5"/>
      <c r="H26" s="5"/>
      <c r="I26" s="5"/>
      <c r="J26" s="18" t="s">
        <v>16</v>
      </c>
    </row>
    <row r="27" spans="1:18">
      <c r="B27" s="3"/>
      <c r="C27" s="3"/>
      <c r="D27" s="3"/>
      <c r="E27" s="3"/>
      <c r="F27" s="3"/>
      <c r="G27" s="3"/>
      <c r="H27" s="3"/>
      <c r="I27" s="3"/>
      <c r="J27" s="18" t="s">
        <v>0</v>
      </c>
    </row>
    <row r="28" spans="1:18">
      <c r="J28" s="18"/>
    </row>
  </sheetData>
  <mergeCells count="9">
    <mergeCell ref="F12:F13"/>
    <mergeCell ref="G12:G13"/>
    <mergeCell ref="H12:H13"/>
    <mergeCell ref="I12:I13"/>
    <mergeCell ref="A1:C1"/>
    <mergeCell ref="B12:B13"/>
    <mergeCell ref="C12:C13"/>
    <mergeCell ref="D12:D13"/>
    <mergeCell ref="E12:E13"/>
  </mergeCells>
  <conditionalFormatting sqref="B4:I4">
    <cfRule type="expression" dxfId="89" priority="11">
      <formula>_xlfn.XLOOKUP($A2&amp;"-"&amp;B$2, Data_Patch_Lookup, Data_Patch_Color_Lookup, "") = "black"</formula>
    </cfRule>
    <cfRule type="expression" dxfId="88" priority="12">
      <formula>_xlfn.XLOOKUP($A2&amp;"-"&amp;B$2, Data_Patch_Lookup, Data_Patch_Color_Lookup, "") = "purple"</formula>
    </cfRule>
    <cfRule type="expression" dxfId="87" priority="13">
      <formula>_xlfn.XLOOKUP($A2&amp;"-"&amp;B$2, Data_Patch_Lookup, Data_Patch_Color_Lookup, "") = "grey"</formula>
    </cfRule>
    <cfRule type="expression" dxfId="86" priority="14">
      <formula>_xlfn.XLOOKUP($A2&amp;"-"&amp;B$2, Data_Patch_Lookup, Data_Patch_Color_Lookup, "") = "brown"</formula>
    </cfRule>
    <cfRule type="expression" dxfId="85" priority="15">
      <formula>_xlfn.XLOOKUP($A2&amp;"-"&amp;B$2, Data_Patch_Lookup, Data_Patch_Color_Lookup, "") = "yellow"</formula>
    </cfRule>
    <cfRule type="expression" dxfId="84" priority="16">
      <formula>_xlfn.XLOOKUP($A2&amp;"-"&amp;B$2, Data_Patch_Lookup, Data_Patch_Color_Lookup, "") = "orange"</formula>
    </cfRule>
    <cfRule type="expression" dxfId="83" priority="17">
      <formula>_xlfn.XLOOKUP($A2&amp;"-"&amp;B$2, Data_Patch_Lookup, Data_Patch_Color_Lookup, "") = "green"</formula>
    </cfRule>
    <cfRule type="expression" dxfId="82" priority="18">
      <formula>_xlfn.XLOOKUP($A2&amp;"-"&amp;B$2, Data_Patch_Lookup, Data_Patch_Color_Lookup, "") = "red"</formula>
    </cfRule>
    <cfRule type="expression" dxfId="81" priority="19">
      <formula>_xlfn.XLOOKUP($A2&amp;"-"&amp;B$2, Data_Patch_Lookup, Data_Patch_Color_Lookup, "") = "white"</formula>
    </cfRule>
    <cfRule type="expression" dxfId="80" priority="20">
      <formula>_xlfn.XLOOKUP($A2&amp;"-"&amp;B$2, Data_Patch_Lookup, Data_Patch_Color_Lookup, "") = "blue"</formula>
    </cfRule>
  </conditionalFormatting>
  <conditionalFormatting sqref="B9:I9">
    <cfRule type="expression" dxfId="79" priority="1">
      <formula>_xlfn.XLOOKUP($A7&amp;"-"&amp;B$2, Data_Patch_Lookup, Data_Patch_Color_Lookup, "") = "black"</formula>
    </cfRule>
    <cfRule type="expression" dxfId="78" priority="2">
      <formula>_xlfn.XLOOKUP($A7&amp;"-"&amp;B$2, Data_Patch_Lookup, Data_Patch_Color_Lookup, "") = "purple"</formula>
    </cfRule>
    <cfRule type="expression" dxfId="77" priority="3">
      <formula>_xlfn.XLOOKUP($A7&amp;"-"&amp;B$2, Data_Patch_Lookup, Data_Patch_Color_Lookup, "") = "grey"</formula>
    </cfRule>
    <cfRule type="expression" dxfId="76" priority="4">
      <formula>_xlfn.XLOOKUP($A7&amp;"-"&amp;B$2, Data_Patch_Lookup, Data_Patch_Color_Lookup, "") = "brown"</formula>
    </cfRule>
    <cfRule type="expression" dxfId="75" priority="5">
      <formula>_xlfn.XLOOKUP($A7&amp;"-"&amp;B$2, Data_Patch_Lookup, Data_Patch_Color_Lookup, "") = "yellow"</formula>
    </cfRule>
    <cfRule type="expression" dxfId="74" priority="6">
      <formula>_xlfn.XLOOKUP($A7&amp;"-"&amp;B$2, Data_Patch_Lookup, Data_Patch_Color_Lookup, "") = "orange"</formula>
    </cfRule>
    <cfRule type="expression" dxfId="73" priority="7">
      <formula>_xlfn.XLOOKUP($A7&amp;"-"&amp;B$2, Data_Patch_Lookup, Data_Patch_Color_Lookup, "") = "green"</formula>
    </cfRule>
    <cfRule type="expression" dxfId="72" priority="8">
      <formula>_xlfn.XLOOKUP($A7&amp;"-"&amp;B$2, Data_Patch_Lookup, Data_Patch_Color_Lookup, "") = "red"</formula>
    </cfRule>
    <cfRule type="expression" dxfId="71" priority="9">
      <formula>_xlfn.XLOOKUP($A7&amp;"-"&amp;B$2, Data_Patch_Lookup, Data_Patch_Color_Lookup, "") = "white"</formula>
    </cfRule>
    <cfRule type="expression" dxfId="70" priority="10">
      <formula>_xlfn.XLOOKUP($A7&amp;"-"&amp;B$2, Data_Patch_Lookup, Data_Patch_Color_Lookup, "") = "blue"</formula>
    </cfRule>
  </conditionalFormatting>
  <conditionalFormatting sqref="B15:I15">
    <cfRule type="expression" dxfId="69" priority="113" stopIfTrue="1">
      <formula>_xlfn.XLOOKUP(B15,#REF!,#REF!, "") = "purple"</formula>
    </cfRule>
    <cfRule type="expression" dxfId="68" priority="114" stopIfTrue="1">
      <formula>_xlfn.XLOOKUP(B15,#REF!,#REF!, "") = "brown"</formula>
    </cfRule>
    <cfRule type="expression" dxfId="67" priority="115" stopIfTrue="1">
      <formula>_xlfn.XLOOKUP(B15,#REF!,#REF!, "") = "orange"</formula>
    </cfRule>
    <cfRule type="expression" dxfId="66" priority="116" stopIfTrue="1">
      <formula>_xlfn.XLOOKUP(B15,#REF!,#REF!, "") = "yellow"</formula>
    </cfRule>
    <cfRule type="expression" dxfId="65" priority="117" stopIfTrue="1">
      <formula>_xlfn.XLOOKUP(B15,#REF!,#REF!, "") = "grey"</formula>
    </cfRule>
    <cfRule type="expression" dxfId="64" priority="118" stopIfTrue="1">
      <formula>_xlfn.XLOOKUP(B15,#REF!,#REF!, "") = "green"</formula>
    </cfRule>
    <cfRule type="expression" dxfId="63" priority="119" stopIfTrue="1">
      <formula>_xlfn.XLOOKUP(B15,#REF!,#REF!, "") = "blue"</formula>
    </cfRule>
    <cfRule type="expression" dxfId="62" priority="120" stopIfTrue="1">
      <formula>_xlfn.XLOOKUP(B15,#REF!,#REF!, "") = "red"</formula>
    </cfRule>
    <cfRule type="expression" dxfId="61" priority="121" stopIfTrue="1">
      <formula>_xlfn.XLOOKUP(B15,#REF!,#REF!, "") = "white"</formula>
    </cfRule>
  </conditionalFormatting>
  <conditionalFormatting sqref="N2">
    <cfRule type="cellIs" dxfId="60" priority="21" operator="greaterThan">
      <formula>$N$3</formula>
    </cfRule>
  </conditionalFormatting>
  <pageMargins left="0.7" right="0.7" top="0.75" bottom="0.75" header="0.3" footer="0.3"/>
  <pageSetup scale="5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D408-4524-4EFE-BF65-511D86482955}">
  <sheetPr>
    <pageSetUpPr fitToPage="1"/>
  </sheetPr>
  <dimension ref="A1:R50"/>
  <sheetViews>
    <sheetView zoomScaleNormal="100" workbookViewId="0">
      <selection activeCell="F16" sqref="F16"/>
    </sheetView>
  </sheetViews>
  <sheetFormatPr defaultColWidth="9.109375" defaultRowHeight="14.4"/>
  <cols>
    <col min="1" max="1" width="18.77734375" style="1" customWidth="1"/>
    <col min="2" max="12" width="12.6640625" style="1" customWidth="1"/>
    <col min="13" max="13" width="13.6640625" style="1" customWidth="1"/>
    <col min="14" max="16" width="12.6640625" style="1" customWidth="1"/>
    <col min="17" max="17" width="21.6640625" style="1" customWidth="1"/>
    <col min="18" max="16384" width="9.109375" style="1"/>
  </cols>
  <sheetData>
    <row r="1" spans="1:17" ht="75.599999999999994" customHeight="1">
      <c r="A1" s="29" t="s">
        <v>28</v>
      </c>
      <c r="B1" s="29"/>
      <c r="C1" s="29"/>
      <c r="D1" s="20"/>
      <c r="E1" s="20"/>
      <c r="F1" s="20"/>
      <c r="G1" s="20"/>
      <c r="H1" s="20"/>
      <c r="I1" s="20"/>
      <c r="J1" s="21" t="str">
        <f>DATA!$G$2</f>
        <v>Untitled Show</v>
      </c>
      <c r="Q1" s="1" t="e" vm="1">
        <v>#VALUE!</v>
      </c>
    </row>
    <row r="2" spans="1:17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M2" s="17" t="s">
        <v>43</v>
      </c>
      <c r="N2" s="1">
        <f>COUNTA(Data_Patch[Outlet ID])</f>
        <v>144</v>
      </c>
    </row>
    <row r="3" spans="1:17">
      <c r="A3" s="3" t="s">
        <v>32</v>
      </c>
      <c r="B3" s="3">
        <f>_xlfn.XLOOKUP($A$2&amp;"-"&amp;B$2, Data_Patch[Outlet ID], Data_Patch[Universe], "")</f>
        <v>1</v>
      </c>
      <c r="C3" s="3">
        <f>_xlfn.XLOOKUP($A$2&amp;"-"&amp;C$2, Data_Patch[Outlet ID], Data_Patch[Universe], "")</f>
        <v>2</v>
      </c>
      <c r="D3" s="3">
        <f>_xlfn.XLOOKUP($A$2&amp;"-"&amp;D$2, Data_Patch[Outlet ID], Data_Patch[Universe], "")</f>
        <v>0</v>
      </c>
      <c r="E3" s="3">
        <f>_xlfn.XLOOKUP($A$2&amp;"-"&amp;E$2, Data_Patch[Outlet ID], Data_Patch[Universe], "")</f>
        <v>0</v>
      </c>
      <c r="F3" s="3">
        <f>_xlfn.XLOOKUP($A$2&amp;"-"&amp;F$2, Data_Patch[Outlet ID], Data_Patch[Universe], "")</f>
        <v>12</v>
      </c>
      <c r="G3" s="3">
        <f>_xlfn.XLOOKUP($A$2&amp;"-"&amp;G$2, Data_Patch[Outlet ID], Data_Patch[Universe], "")</f>
        <v>13</v>
      </c>
      <c r="H3" s="3">
        <f>_xlfn.XLOOKUP($A$2&amp;"-"&amp;H$2, Data_Patch[Outlet ID], Data_Patch[Universe], "")</f>
        <v>0</v>
      </c>
      <c r="I3" s="3">
        <f>_xlfn.XLOOKUP($A$2&amp;"-"&amp;I$2, Data_Patch[Outlet ID], Data_Patch[Universe], "")</f>
        <v>0</v>
      </c>
      <c r="J3" s="18" t="s">
        <v>1</v>
      </c>
      <c r="M3" s="17" t="s">
        <v>42</v>
      </c>
      <c r="N3" s="1">
        <v>40</v>
      </c>
    </row>
    <row r="4" spans="1:17">
      <c r="A4" s="3" t="s">
        <v>15</v>
      </c>
      <c r="B4" s="3" t="str">
        <f>_xlfn.XLOOKUP($A$2&amp;"-"&amp;B$2, Data_Patch[Outlet ID], Data_Patch[Cable], "")</f>
        <v>DSB1</v>
      </c>
      <c r="C4" s="3" t="str">
        <f>_xlfn.XLOOKUP($A$2&amp;"-"&amp;C$2, Data_Patch[Outlet ID], Data_Patch[Cable], "")</f>
        <v>DSB2</v>
      </c>
      <c r="D4" s="3" t="str">
        <f>_xlfn.XLOOKUP($A$2&amp;"-"&amp;D$2, Data_Patch[Outlet ID], Data_Patch[Cable], "")</f>
        <v/>
      </c>
      <c r="E4" s="3" t="str">
        <f>_xlfn.XLOOKUP($A$2&amp;"-"&amp;E$2, Data_Patch[Outlet ID], Data_Patch[Cable], "")</f>
        <v/>
      </c>
      <c r="F4" s="3" t="str">
        <f>_xlfn.XLOOKUP($A$2&amp;"-"&amp;F$2, Data_Patch[Outlet ID], Data_Patch[Cable], "")</f>
        <v>SLW1</v>
      </c>
      <c r="G4" s="3" t="str">
        <f>_xlfn.XLOOKUP($A$2&amp;"-"&amp;G$2, Data_Patch[Outlet ID], Data_Patch[Cable], "")</f>
        <v>SLW2</v>
      </c>
      <c r="H4" s="3" t="str">
        <f>_xlfn.XLOOKUP($A$2&amp;"-"&amp;H$2, Data_Patch[Outlet ID], Data_Patch[Cable], "")</f>
        <v/>
      </c>
      <c r="I4" s="3" t="str">
        <f>_xlfn.XLOOKUP($A$2&amp;"-"&amp;I$2, Data_Patch[Outlet ID], Data_Patch[Cable], "")</f>
        <v/>
      </c>
      <c r="J4" s="18" t="s">
        <v>16</v>
      </c>
    </row>
    <row r="5" spans="1:17">
      <c r="A5" s="3"/>
      <c r="B5" s="3" t="str">
        <f>_xlfn.XLOOKUP($A$2&amp;"-"&amp;B$2, Data_Patch[Outlet ID], Data_Patch[Type], "")</f>
        <v>Sneak</v>
      </c>
      <c r="C5" s="3" t="str">
        <f>_xlfn.XLOOKUP($A$2&amp;"-"&amp;C$2, Data_Patch[Outlet ID], Data_Patch[Type], "")</f>
        <v>Sneak</v>
      </c>
      <c r="D5" s="3" t="str">
        <f>_xlfn.XLOOKUP($A$2&amp;"-"&amp;D$2, Data_Patch[Outlet ID], Data_Patch[Type], "")</f>
        <v/>
      </c>
      <c r="E5" s="3" t="str">
        <f>_xlfn.XLOOKUP($A$2&amp;"-"&amp;E$2, Data_Patch[Outlet ID], Data_Patch[Type], "")</f>
        <v/>
      </c>
      <c r="F5" s="3" t="str">
        <f>_xlfn.XLOOKUP($A$2&amp;"-"&amp;F$2, Data_Patch[Outlet ID], Data_Patch[Type], "")</f>
        <v>Sneak</v>
      </c>
      <c r="G5" s="3" t="str">
        <f>_xlfn.XLOOKUP($A$2&amp;"-"&amp;G$2, Data_Patch[Outlet ID], Data_Patch[Type], "")</f>
        <v>Sneak</v>
      </c>
      <c r="H5" s="3" t="str">
        <f>_xlfn.XLOOKUP($A$2&amp;"-"&amp;H$2, Data_Patch[Outlet ID], Data_Patch[Type], "")</f>
        <v/>
      </c>
      <c r="I5" s="3" t="str">
        <f>_xlfn.XLOOKUP($A$2&amp;"-"&amp;I$2, Data_Patch[Outlet ID], Data_Patch[Type], "")</f>
        <v/>
      </c>
      <c r="J5" s="18" t="s">
        <v>0</v>
      </c>
    </row>
    <row r="6" spans="1:17">
      <c r="J6" s="18"/>
    </row>
    <row r="7" spans="1:17">
      <c r="A7" s="2" t="s">
        <v>17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18"/>
    </row>
    <row r="8" spans="1:17">
      <c r="A8" s="3" t="s">
        <v>32</v>
      </c>
      <c r="B8" s="3">
        <f>_xlfn.XLOOKUP($A$7&amp;"-"&amp;B$7, Data_Patch[Outlet ID], Data_Patch[Universe], "")</f>
        <v>0</v>
      </c>
      <c r="C8" s="3">
        <f>_xlfn.XLOOKUP($A$7&amp;"-"&amp;C$7, Data_Patch[Outlet ID], Data_Patch[Universe], "")</f>
        <v>0</v>
      </c>
      <c r="D8" s="3">
        <f>_xlfn.XLOOKUP($A$7&amp;"-"&amp;D$7, Data_Patch[Outlet ID], Data_Patch[Universe], "")</f>
        <v>0</v>
      </c>
      <c r="E8" s="3">
        <f>_xlfn.XLOOKUP($A$7&amp;"-"&amp;E$7, Data_Patch[Outlet ID], Data_Patch[Universe], "")</f>
        <v>0</v>
      </c>
      <c r="F8" s="3">
        <f>_xlfn.XLOOKUP($A$7&amp;"-"&amp;F$7, Data_Patch[Outlet ID], Data_Patch[Universe], "")</f>
        <v>0</v>
      </c>
      <c r="G8" s="3">
        <f>_xlfn.XLOOKUP($A$7&amp;"-"&amp;G$7, Data_Patch[Outlet ID], Data_Patch[Universe], "")</f>
        <v>0</v>
      </c>
      <c r="H8" s="3">
        <f>_xlfn.XLOOKUP($A$7&amp;"-"&amp;H$7, Data_Patch[Outlet ID], Data_Patch[Universe], "")</f>
        <v>0</v>
      </c>
      <c r="I8" s="3">
        <f>_xlfn.XLOOKUP($A$7&amp;"-"&amp;I$7, Data_Patch[Outlet ID], Data_Patch[Universe], "")</f>
        <v>0</v>
      </c>
      <c r="J8" s="18" t="s">
        <v>1</v>
      </c>
    </row>
    <row r="9" spans="1:17">
      <c r="A9" s="3" t="s">
        <v>15</v>
      </c>
      <c r="B9" s="3" t="str">
        <f>_xlfn.XLOOKUP($A$7&amp;"-"&amp;B$7, Data_Patch[Outlet ID], Data_Patch[Cable], "")</f>
        <v/>
      </c>
      <c r="C9" s="3" t="str">
        <f>_xlfn.XLOOKUP($A$7&amp;"-"&amp;C$7, Data_Patch[Outlet ID], Data_Patch[Cable], "")</f>
        <v/>
      </c>
      <c r="D9" s="3" t="str">
        <f>_xlfn.XLOOKUP($A$7&amp;"-"&amp;D$7, Data_Patch[Outlet ID], Data_Patch[Cable], "")</f>
        <v/>
      </c>
      <c r="E9" s="3" t="str">
        <f>_xlfn.XLOOKUP($A$7&amp;"-"&amp;E$7, Data_Patch[Outlet ID], Data_Patch[Cable], "")</f>
        <v/>
      </c>
      <c r="F9" s="3" t="str">
        <f>_xlfn.XLOOKUP($A$7&amp;"-"&amp;F$7, Data_Patch[Outlet ID], Data_Patch[Cable], "")</f>
        <v/>
      </c>
      <c r="G9" s="3" t="str">
        <f>_xlfn.XLOOKUP($A$7&amp;"-"&amp;G$7, Data_Patch[Outlet ID], Data_Patch[Cable], "")</f>
        <v/>
      </c>
      <c r="H9" s="3" t="str">
        <f>_xlfn.XLOOKUP($A$7&amp;"-"&amp;H$7, Data_Patch[Outlet ID], Data_Patch[Cable], "")</f>
        <v/>
      </c>
      <c r="I9" s="3" t="str">
        <f>_xlfn.XLOOKUP($A$7&amp;"-"&amp;I$7, Data_Patch[Outlet ID], Data_Patch[Cable], "")</f>
        <v/>
      </c>
      <c r="J9" s="18" t="s">
        <v>16</v>
      </c>
    </row>
    <row r="10" spans="1:17">
      <c r="A10" s="3"/>
      <c r="B10" s="3" t="str">
        <f>_xlfn.XLOOKUP($A$7&amp;"-"&amp;B$7, Data_Patch[Outlet ID], Data_Patch[Type], "")</f>
        <v/>
      </c>
      <c r="C10" s="3" t="str">
        <f>_xlfn.XLOOKUP($A$7&amp;"-"&amp;C$7, Data_Patch[Outlet ID], Data_Patch[Type], "")</f>
        <v/>
      </c>
      <c r="D10" s="3" t="str">
        <f>_xlfn.XLOOKUP($A$7&amp;"-"&amp;D$7, Data_Patch[Outlet ID], Data_Patch[Type], "")</f>
        <v/>
      </c>
      <c r="E10" s="3" t="str">
        <f>_xlfn.XLOOKUP($A$7&amp;"-"&amp;E$7, Data_Patch[Outlet ID], Data_Patch[Type], "")</f>
        <v/>
      </c>
      <c r="F10" s="3" t="str">
        <f>_xlfn.XLOOKUP($A$7&amp;"-"&amp;F$7, Data_Patch[Outlet ID], Data_Patch[Type], "")</f>
        <v/>
      </c>
      <c r="G10" s="3" t="str">
        <f>_xlfn.XLOOKUP($A$7&amp;"-"&amp;G$7, Data_Patch[Outlet ID], Data_Patch[Type], "")</f>
        <v/>
      </c>
      <c r="H10" s="3" t="str">
        <f>_xlfn.XLOOKUP($A$7&amp;"-"&amp;H$7, Data_Patch[Outlet ID], Data_Patch[Type], "")</f>
        <v/>
      </c>
      <c r="I10" s="3" t="str">
        <f>_xlfn.XLOOKUP($A$7&amp;"-"&amp;I$7, Data_Patch[Outlet ID], Data_Patch[Type], "")</f>
        <v/>
      </c>
      <c r="J10" s="18" t="s">
        <v>0</v>
      </c>
    </row>
    <row r="11" spans="1:17">
      <c r="J11" s="18"/>
      <c r="N11" s="34"/>
      <c r="O11" s="34"/>
    </row>
    <row r="12" spans="1:17">
      <c r="A12" s="2" t="s">
        <v>18</v>
      </c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  <c r="G12" s="3" t="s">
        <v>11</v>
      </c>
      <c r="H12" s="3" t="s">
        <v>12</v>
      </c>
      <c r="I12" s="3" t="s">
        <v>13</v>
      </c>
      <c r="J12" s="18"/>
      <c r="N12" s="14"/>
      <c r="O12" s="15"/>
    </row>
    <row r="13" spans="1:17">
      <c r="A13" s="3" t="s">
        <v>32</v>
      </c>
      <c r="B13" s="3">
        <f>_xlfn.XLOOKUP($A$12&amp;"-"&amp;B$12, Data_Patch[Outlet ID], Data_Patch[Universe], "")</f>
        <v>0</v>
      </c>
      <c r="C13" s="3">
        <f>_xlfn.XLOOKUP($A$12&amp;"-"&amp;C$12, Data_Patch[Outlet ID], Data_Patch[Universe], "")</f>
        <v>0</v>
      </c>
      <c r="D13" s="3">
        <f>_xlfn.XLOOKUP($A$12&amp;"-"&amp;D$12, Data_Patch[Outlet ID], Data_Patch[Universe], "")</f>
        <v>0</v>
      </c>
      <c r="E13" s="3">
        <f>_xlfn.XLOOKUP($A$12&amp;"-"&amp;E$12, Data_Patch[Outlet ID], Data_Patch[Universe], "")</f>
        <v>0</v>
      </c>
      <c r="F13" s="3">
        <f>_xlfn.XLOOKUP($A$12&amp;"-"&amp;F$12, Data_Patch[Outlet ID], Data_Patch[Universe], "")</f>
        <v>0</v>
      </c>
      <c r="G13" s="3">
        <f>_xlfn.XLOOKUP($A$12&amp;"-"&amp;G$12, Data_Patch[Outlet ID], Data_Patch[Universe], "")</f>
        <v>0</v>
      </c>
      <c r="H13" s="3">
        <f>_xlfn.XLOOKUP($A$12&amp;"-"&amp;H$12, Data_Patch[Outlet ID], Data_Patch[Universe], "")</f>
        <v>0</v>
      </c>
      <c r="I13" s="3">
        <f>_xlfn.XLOOKUP($A$12&amp;"-"&amp;I$12, Data_Patch[Outlet ID], Data_Patch[Universe], "")</f>
        <v>0</v>
      </c>
      <c r="J13" s="18" t="s">
        <v>1</v>
      </c>
    </row>
    <row r="14" spans="1:17">
      <c r="A14" s="3" t="s">
        <v>15</v>
      </c>
      <c r="B14" s="3" t="str">
        <f>_xlfn.XLOOKUP($A$12&amp;"-"&amp;B$12, Data_Patch[Outlet ID], Data_Patch[Cable], "")</f>
        <v/>
      </c>
      <c r="C14" s="3" t="str">
        <f>_xlfn.XLOOKUP($A$12&amp;"-"&amp;C$12, Data_Patch[Outlet ID], Data_Patch[Cable], "")</f>
        <v/>
      </c>
      <c r="D14" s="3" t="str">
        <f>_xlfn.XLOOKUP($A$12&amp;"-"&amp;D$12, Data_Patch[Outlet ID], Data_Patch[Cable], "")</f>
        <v/>
      </c>
      <c r="E14" s="3" t="str">
        <f>_xlfn.XLOOKUP($A$12&amp;"-"&amp;E$12, Data_Patch[Outlet ID], Data_Patch[Cable], "")</f>
        <v/>
      </c>
      <c r="F14" s="3" t="str">
        <f>_xlfn.XLOOKUP($A$12&amp;"-"&amp;F$12, Data_Patch[Outlet ID], Data_Patch[Cable], "")</f>
        <v/>
      </c>
      <c r="G14" s="3" t="str">
        <f>_xlfn.XLOOKUP($A$12&amp;"-"&amp;G$12, Data_Patch[Outlet ID], Data_Patch[Cable], "")</f>
        <v/>
      </c>
      <c r="H14" s="3" t="str">
        <f>_xlfn.XLOOKUP($A$12&amp;"-"&amp;H$12, Data_Patch[Outlet ID], Data_Patch[Cable], "")</f>
        <v/>
      </c>
      <c r="I14" s="3" t="str">
        <f>_xlfn.XLOOKUP($A$12&amp;"-"&amp;I$12, Data_Patch[Outlet ID], Data_Patch[Cable], "")</f>
        <v/>
      </c>
      <c r="J14" s="18" t="s">
        <v>16</v>
      </c>
    </row>
    <row r="15" spans="1:17">
      <c r="A15" s="3"/>
      <c r="B15" s="3" t="str">
        <f>_xlfn.XLOOKUP($A$12&amp;"-"&amp;B$12, Data_Patch[Outlet ID], Data_Patch[Type], "")</f>
        <v/>
      </c>
      <c r="C15" s="3" t="str">
        <f>_xlfn.XLOOKUP($A$12&amp;"-"&amp;C$12, Data_Patch[Outlet ID], Data_Patch[Type], "")</f>
        <v/>
      </c>
      <c r="D15" s="3" t="str">
        <f>_xlfn.XLOOKUP($A$12&amp;"-"&amp;D$12, Data_Patch[Outlet ID], Data_Patch[Type], "")</f>
        <v/>
      </c>
      <c r="E15" s="3" t="str">
        <f>_xlfn.XLOOKUP($A$12&amp;"-"&amp;E$12, Data_Patch[Outlet ID], Data_Patch[Type], "")</f>
        <v/>
      </c>
      <c r="F15" s="3" t="str">
        <f>_xlfn.XLOOKUP($A$12&amp;"-"&amp;F$12, Data_Patch[Outlet ID], Data_Patch[Type], "")</f>
        <v/>
      </c>
      <c r="G15" s="3" t="str">
        <f>_xlfn.XLOOKUP($A$12&amp;"-"&amp;G$12, Data_Patch[Outlet ID], Data_Patch[Type], "")</f>
        <v/>
      </c>
      <c r="H15" s="3" t="str">
        <f>_xlfn.XLOOKUP($A$12&amp;"-"&amp;H$12, Data_Patch[Outlet ID], Data_Patch[Type], "")</f>
        <v/>
      </c>
      <c r="I15" s="3" t="str">
        <f>_xlfn.XLOOKUP($A$12&amp;"-"&amp;I$12, Data_Patch[Outlet ID], Data_Patch[Type], "")</f>
        <v/>
      </c>
      <c r="J15" s="18" t="s">
        <v>0</v>
      </c>
    </row>
    <row r="16" spans="1:17">
      <c r="J16" s="18"/>
    </row>
    <row r="17" spans="1:18">
      <c r="A17" s="2" t="s">
        <v>19</v>
      </c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  <c r="G17" s="3" t="s">
        <v>11</v>
      </c>
      <c r="H17" s="3" t="s">
        <v>12</v>
      </c>
      <c r="I17" s="3" t="s">
        <v>13</v>
      </c>
      <c r="J17" s="18"/>
    </row>
    <row r="18" spans="1:18">
      <c r="A18" s="3" t="s">
        <v>32</v>
      </c>
      <c r="B18" s="3">
        <f>_xlfn.XLOOKUP($A$17&amp;"-"&amp;B$17, Data_Patch[Outlet ID], Data_Patch[Universe], "")</f>
        <v>0</v>
      </c>
      <c r="C18" s="3">
        <f>_xlfn.XLOOKUP($A$17&amp;"-"&amp;C$17, Data_Patch[Outlet ID], Data_Patch[Universe], "")</f>
        <v>0</v>
      </c>
      <c r="D18" s="3">
        <f>_xlfn.XLOOKUP($A$17&amp;"-"&amp;D$17, Data_Patch[Outlet ID], Data_Patch[Universe], "")</f>
        <v>0</v>
      </c>
      <c r="E18" s="3">
        <f>_xlfn.XLOOKUP($A$17&amp;"-"&amp;E$17, Data_Patch[Outlet ID], Data_Patch[Universe], "")</f>
        <v>0</v>
      </c>
      <c r="F18" s="3">
        <f>_xlfn.XLOOKUP($A$17&amp;"-"&amp;F$17, Data_Patch[Outlet ID], Data_Patch[Universe], "")</f>
        <v>0</v>
      </c>
      <c r="G18" s="3">
        <f>_xlfn.XLOOKUP($A$17&amp;"-"&amp;G$17, Data_Patch[Outlet ID], Data_Patch[Universe], "")</f>
        <v>0</v>
      </c>
      <c r="H18" s="3">
        <f>_xlfn.XLOOKUP($A$17&amp;"-"&amp;H$17, Data_Patch[Outlet ID], Data_Patch[Universe], "")</f>
        <v>0</v>
      </c>
      <c r="I18" s="3">
        <f>_xlfn.XLOOKUP($A$17&amp;"-"&amp;I$17, Data_Patch[Outlet ID], Data_Patch[Universe], "")</f>
        <v>0</v>
      </c>
      <c r="J18" s="18" t="s">
        <v>1</v>
      </c>
    </row>
    <row r="19" spans="1:18">
      <c r="A19" s="3" t="s">
        <v>15</v>
      </c>
      <c r="B19" s="3" t="str">
        <f>_xlfn.XLOOKUP($A$17&amp;"-"&amp;B$17, Data_Patch[Outlet ID], Data_Patch[Cable], "")</f>
        <v/>
      </c>
      <c r="C19" s="3" t="str">
        <f>_xlfn.XLOOKUP($A$17&amp;"-"&amp;C$17, Data_Patch[Outlet ID], Data_Patch[Cable], "")</f>
        <v/>
      </c>
      <c r="D19" s="3" t="str">
        <f>_xlfn.XLOOKUP($A$17&amp;"-"&amp;D$17, Data_Patch[Outlet ID], Data_Patch[Cable], "")</f>
        <v/>
      </c>
      <c r="E19" s="3" t="str">
        <f>_xlfn.XLOOKUP($A$17&amp;"-"&amp;E$17, Data_Patch[Outlet ID], Data_Patch[Cable], "")</f>
        <v/>
      </c>
      <c r="F19" s="3" t="str">
        <f>_xlfn.XLOOKUP($A$17&amp;"-"&amp;F$17, Data_Patch[Outlet ID], Data_Patch[Cable], "")</f>
        <v/>
      </c>
      <c r="G19" s="3" t="str">
        <f>_xlfn.XLOOKUP($A$17&amp;"-"&amp;G$17, Data_Patch[Outlet ID], Data_Patch[Cable], "")</f>
        <v/>
      </c>
      <c r="H19" s="3" t="str">
        <f>_xlfn.XLOOKUP($A$17&amp;"-"&amp;H$17, Data_Patch[Outlet ID], Data_Patch[Cable], "")</f>
        <v/>
      </c>
      <c r="I19" s="3" t="str">
        <f>_xlfn.XLOOKUP($A$17&amp;"-"&amp;I$17, Data_Patch[Outlet ID], Data_Patch[Cable], "")</f>
        <v/>
      </c>
      <c r="J19" s="18" t="s">
        <v>16</v>
      </c>
    </row>
    <row r="20" spans="1:18">
      <c r="A20" s="3"/>
      <c r="B20" s="3" t="str">
        <f>_xlfn.XLOOKUP($A$17&amp;"-"&amp;B$17, Data_Patch[Outlet ID], Data_Patch[Type], "")</f>
        <v/>
      </c>
      <c r="C20" s="3" t="str">
        <f>_xlfn.XLOOKUP($A$17&amp;"-"&amp;C$17, Data_Patch[Outlet ID], Data_Patch[Type], "")</f>
        <v/>
      </c>
      <c r="D20" s="3" t="str">
        <f>_xlfn.XLOOKUP($A$17&amp;"-"&amp;D$17, Data_Patch[Outlet ID], Data_Patch[Type], "")</f>
        <v/>
      </c>
      <c r="E20" s="3" t="str">
        <f>_xlfn.XLOOKUP($A$17&amp;"-"&amp;E$17, Data_Patch[Outlet ID], Data_Patch[Type], "")</f>
        <v/>
      </c>
      <c r="F20" s="3" t="str">
        <f>_xlfn.XLOOKUP($A$17&amp;"-"&amp;F$17, Data_Patch[Outlet ID], Data_Patch[Type], "")</f>
        <v/>
      </c>
      <c r="G20" s="3" t="str">
        <f>_xlfn.XLOOKUP($A$17&amp;"-"&amp;G$17, Data_Patch[Outlet ID], Data_Patch[Type], "")</f>
        <v/>
      </c>
      <c r="H20" s="3" t="str">
        <f>_xlfn.XLOOKUP($A$17&amp;"-"&amp;H$17, Data_Patch[Outlet ID], Data_Patch[Type], "")</f>
        <v/>
      </c>
      <c r="I20" s="3" t="str">
        <f>_xlfn.XLOOKUP($A$17&amp;"-"&amp;I$17, Data_Patch[Outlet ID], Data_Patch[Type], "")</f>
        <v/>
      </c>
      <c r="J20" s="18" t="s">
        <v>0</v>
      </c>
    </row>
    <row r="21" spans="1:18">
      <c r="J21" s="18"/>
    </row>
    <row r="22" spans="1:18">
      <c r="A22" s="2" t="s">
        <v>20</v>
      </c>
      <c r="B22" s="3" t="s">
        <v>6</v>
      </c>
      <c r="C22" s="3" t="s">
        <v>7</v>
      </c>
      <c r="D22" s="3" t="s">
        <v>8</v>
      </c>
      <c r="E22" s="3" t="s">
        <v>9</v>
      </c>
      <c r="F22" s="3" t="s">
        <v>10</v>
      </c>
      <c r="G22" s="3" t="s">
        <v>11</v>
      </c>
      <c r="H22" s="3" t="s">
        <v>12</v>
      </c>
      <c r="I22" s="3" t="s">
        <v>13</v>
      </c>
      <c r="J22" s="18"/>
    </row>
    <row r="23" spans="1:18">
      <c r="A23" s="3" t="s">
        <v>32</v>
      </c>
      <c r="B23" s="3">
        <f>_xlfn.XLOOKUP($A$22&amp;"-"&amp;B$22, Data_Patch[Outlet ID], Data_Patch[Universe], "")</f>
        <v>0</v>
      </c>
      <c r="C23" s="3">
        <f>_xlfn.XLOOKUP($A$22&amp;"-"&amp;C$22, Data_Patch[Outlet ID], Data_Patch[Universe], "")</f>
        <v>0</v>
      </c>
      <c r="D23" s="3">
        <f>_xlfn.XLOOKUP($A$22&amp;"-"&amp;D$22, Data_Patch[Outlet ID], Data_Patch[Universe], "")</f>
        <v>0</v>
      </c>
      <c r="E23" s="3">
        <f>_xlfn.XLOOKUP($A$22&amp;"-"&amp;E$22, Data_Patch[Outlet ID], Data_Patch[Universe], "")</f>
        <v>0</v>
      </c>
      <c r="F23" s="3">
        <f>_xlfn.XLOOKUP($A$22&amp;"-"&amp;F$22, Data_Patch[Outlet ID], Data_Patch[Universe], "")</f>
        <v>0</v>
      </c>
      <c r="G23" s="3">
        <f>_xlfn.XLOOKUP($A$22&amp;"-"&amp;G$22, Data_Patch[Outlet ID], Data_Patch[Universe], "")</f>
        <v>0</v>
      </c>
      <c r="H23" s="3">
        <f>_xlfn.XLOOKUP($A$22&amp;"-"&amp;H$22, Data_Patch[Outlet ID], Data_Patch[Universe], "")</f>
        <v>0</v>
      </c>
      <c r="I23" s="3">
        <f>_xlfn.XLOOKUP($A$22&amp;"-"&amp;I$22, Data_Patch[Outlet ID], Data_Patch[Universe], "")</f>
        <v>0</v>
      </c>
      <c r="J23" s="18" t="s">
        <v>1</v>
      </c>
    </row>
    <row r="24" spans="1:18">
      <c r="A24" s="3" t="s">
        <v>15</v>
      </c>
      <c r="B24" s="3" t="str">
        <f>_xlfn.XLOOKUP($A$22&amp;"-"&amp;B$22, Data_Patch[Outlet ID], Data_Patch[Cable], "")</f>
        <v/>
      </c>
      <c r="C24" s="3" t="str">
        <f>_xlfn.XLOOKUP($A$22&amp;"-"&amp;C$22, Data_Patch[Outlet ID], Data_Patch[Cable], "")</f>
        <v/>
      </c>
      <c r="D24" s="3" t="str">
        <f>_xlfn.XLOOKUP($A$22&amp;"-"&amp;D$22, Data_Patch[Outlet ID], Data_Patch[Cable], "")</f>
        <v/>
      </c>
      <c r="E24" s="3" t="str">
        <f>_xlfn.XLOOKUP($A$22&amp;"-"&amp;E$22, Data_Patch[Outlet ID], Data_Patch[Cable], "")</f>
        <v/>
      </c>
      <c r="F24" s="3" t="str">
        <f>_xlfn.XLOOKUP($A$22&amp;"-"&amp;F$22, Data_Patch[Outlet ID], Data_Patch[Cable], "")</f>
        <v/>
      </c>
      <c r="G24" s="3" t="str">
        <f>_xlfn.XLOOKUP($A$22&amp;"-"&amp;G$22, Data_Patch[Outlet ID], Data_Patch[Cable], "")</f>
        <v/>
      </c>
      <c r="H24" s="3" t="str">
        <f>_xlfn.XLOOKUP($A$22&amp;"-"&amp;H$22, Data_Patch[Outlet ID], Data_Patch[Cable], "")</f>
        <v/>
      </c>
      <c r="I24" s="3" t="str">
        <f>_xlfn.XLOOKUP($A$22&amp;"-"&amp;I$22, Data_Patch[Outlet ID], Data_Patch[Cable], "")</f>
        <v/>
      </c>
      <c r="J24" s="18" t="s">
        <v>16</v>
      </c>
    </row>
    <row r="25" spans="1:18">
      <c r="A25" s="3"/>
      <c r="B25" s="3" t="str">
        <f>_xlfn.XLOOKUP($A$22&amp;"-"&amp;B$22, Data_Patch[Outlet ID], Data_Patch[Type], "")</f>
        <v/>
      </c>
      <c r="C25" s="3" t="str">
        <f>_xlfn.XLOOKUP($A$22&amp;"-"&amp;C$22, Data_Patch[Outlet ID], Data_Patch[Type], "")</f>
        <v/>
      </c>
      <c r="D25" s="3" t="str">
        <f>_xlfn.XLOOKUP($A$22&amp;"-"&amp;D$22, Data_Patch[Outlet ID], Data_Patch[Type], "")</f>
        <v/>
      </c>
      <c r="E25" s="3" t="str">
        <f>_xlfn.XLOOKUP($A$22&amp;"-"&amp;E$22, Data_Patch[Outlet ID], Data_Patch[Type], "")</f>
        <v/>
      </c>
      <c r="F25" s="3" t="str">
        <f>_xlfn.XLOOKUP($A$22&amp;"-"&amp;F$22, Data_Patch[Outlet ID], Data_Patch[Type], "")</f>
        <v/>
      </c>
      <c r="G25" s="3" t="str">
        <f>_xlfn.XLOOKUP($A$22&amp;"-"&amp;G$22, Data_Patch[Outlet ID], Data_Patch[Type], "")</f>
        <v/>
      </c>
      <c r="H25" s="3" t="str">
        <f>_xlfn.XLOOKUP($A$22&amp;"-"&amp;H$22, Data_Patch[Outlet ID], Data_Patch[Type], "")</f>
        <v/>
      </c>
      <c r="I25" s="3" t="str">
        <f>_xlfn.XLOOKUP($A$22&amp;"-"&amp;I$22, Data_Patch[Outlet ID], Data_Patch[Type], "")</f>
        <v/>
      </c>
      <c r="J25" s="18" t="s">
        <v>0</v>
      </c>
    </row>
    <row r="27" spans="1:18" ht="6" customHeight="1">
      <c r="B27" s="30"/>
      <c r="C27" s="31"/>
      <c r="D27" s="32"/>
      <c r="E27" s="33"/>
      <c r="F27" s="35"/>
      <c r="G27" s="36"/>
      <c r="H27" s="37"/>
      <c r="I27" s="38"/>
      <c r="J27"/>
      <c r="K27"/>
      <c r="L27"/>
      <c r="M27"/>
      <c r="N27"/>
      <c r="O27"/>
      <c r="P27"/>
      <c r="Q27"/>
      <c r="R27"/>
    </row>
    <row r="28" spans="1:18" ht="6" customHeight="1">
      <c r="B28" s="30"/>
      <c r="C28" s="31"/>
      <c r="D28" s="32"/>
      <c r="E28" s="33"/>
      <c r="F28" s="35"/>
      <c r="G28" s="36"/>
      <c r="H28" s="37"/>
      <c r="I28" s="38"/>
      <c r="J28"/>
      <c r="K28"/>
      <c r="L28"/>
      <c r="M28"/>
      <c r="N28"/>
      <c r="O28"/>
      <c r="P28"/>
      <c r="Q28"/>
      <c r="R28"/>
    </row>
    <row r="29" spans="1:18" ht="15" hidden="1" customHeight="1">
      <c r="B29" s="3">
        <v>1</v>
      </c>
      <c r="C29" s="3">
        <v>2</v>
      </c>
      <c r="D29" s="1">
        <v>3</v>
      </c>
      <c r="E29" s="1">
        <v>4</v>
      </c>
      <c r="F29" s="1">
        <v>5</v>
      </c>
      <c r="G29" s="1">
        <v>6</v>
      </c>
      <c r="H29" s="1">
        <v>7</v>
      </c>
      <c r="I29" s="1">
        <v>8</v>
      </c>
      <c r="J29"/>
      <c r="K29"/>
      <c r="L29"/>
      <c r="M29"/>
      <c r="N29"/>
      <c r="O29"/>
      <c r="P29"/>
      <c r="Q29"/>
      <c r="R29"/>
    </row>
    <row r="30" spans="1:18">
      <c r="A30" s="6" t="s">
        <v>21</v>
      </c>
      <c r="B30" s="3" t="str">
        <f>_xlfn.XLOOKUP(B29, Data_Multis[Multi ID], Data_Multis[Multi Name], "")</f>
        <v>DSB1</v>
      </c>
      <c r="C30" s="3" t="str">
        <f>_xlfn.XLOOKUP(C29, Data_Multis[Multi ID], Data_Multis[Multi Name], "")</f>
        <v>SLW1</v>
      </c>
      <c r="D30" s="3" t="str">
        <f>_xlfn.XLOOKUP(D29, Data_Multis[Multi ID], Data_Multis[Multi Name], "")</f>
        <v>THR1</v>
      </c>
      <c r="E30" s="3" t="str">
        <f>_xlfn.XLOOKUP(E29, Data_Multis[Multi ID], Data_Multis[Multi Name], "")</f>
        <v>THR2</v>
      </c>
      <c r="F30" s="3" t="str">
        <f>_xlfn.XLOOKUP(F29, Data_Multis[Multi ID], Data_Multis[Multi Name], "")</f>
        <v>DSL1</v>
      </c>
      <c r="G30" s="3" t="str">
        <f>_xlfn.XLOOKUP(G29, Data_Multis[Multi ID], Data_Multis[Multi Name], "")</f>
        <v>SLWF1</v>
      </c>
      <c r="H30" s="3" t="str">
        <f>_xlfn.XLOOKUP(H29, Data_Multis[Multi ID], Data_Multis[Multi Name], "")</f>
        <v>SRL1</v>
      </c>
      <c r="I30" s="3" t="str">
        <f>_xlfn.XLOOKUP(I29, Data_Multis[Multi ID], Data_Multis[Multi Name], "")</f>
        <v>SLL1</v>
      </c>
      <c r="J30"/>
      <c r="K30"/>
      <c r="L30"/>
      <c r="M30"/>
      <c r="N30"/>
      <c r="O30"/>
      <c r="P30"/>
      <c r="Q30"/>
      <c r="R30"/>
    </row>
    <row r="31" spans="1:18">
      <c r="A31" s="4" t="s">
        <v>23</v>
      </c>
      <c r="B31" s="3" t="str">
        <f>_xlfn.XLOOKUP(B29, Data_Multis[Multi ID], Data_Multis[Line 1], "")</f>
        <v>DSB1 U1</v>
      </c>
      <c r="C31" s="3" t="str">
        <f>_xlfn.XLOOKUP(C29, Data_Multis[Multi ID], Data_Multis[Line 1], "")</f>
        <v>SLW1 U12</v>
      </c>
      <c r="D31" s="3" t="str">
        <f>_xlfn.XLOOKUP(D29, Data_Multis[Multi ID], Data_Multis[Line 1], "")</f>
        <v>THR1 U17</v>
      </c>
      <c r="E31" s="3" t="str">
        <f>_xlfn.XLOOKUP(E29, Data_Multis[Multi ID], Data_Multis[Line 1], "")</f>
        <v>THR5 U21</v>
      </c>
      <c r="F31" s="3" t="str">
        <f>_xlfn.XLOOKUP(F29, Data_Multis[Multi ID], Data_Multis[Line 1], "")</f>
        <v>DSL1 U22</v>
      </c>
      <c r="G31" s="3" t="str">
        <f>_xlfn.XLOOKUP(G29, Data_Multis[Multi ID], Data_Multis[Line 1], "")</f>
        <v>SLWF1 U24</v>
      </c>
      <c r="H31" s="3" t="str">
        <f>_xlfn.XLOOKUP(H29, Data_Multis[Multi ID], Data_Multis[Line 1], "")</f>
        <v>SRL1 U25</v>
      </c>
      <c r="I31" s="3" t="str">
        <f>_xlfn.XLOOKUP(I29, Data_Multis[Multi ID], Data_Multis[Line 1], "")</f>
        <v>SLL1 U29</v>
      </c>
      <c r="J31"/>
      <c r="K31"/>
      <c r="L31"/>
      <c r="M31"/>
      <c r="N31"/>
      <c r="O31"/>
      <c r="P31"/>
      <c r="Q31"/>
      <c r="R31"/>
    </row>
    <row r="32" spans="1:18">
      <c r="A32" s="4" t="s">
        <v>24</v>
      </c>
      <c r="B32" s="3" t="str">
        <f>_xlfn.XLOOKUP(B29, Data_Multis[Multi ID], Data_Multis[Line 2], "")</f>
        <v>DSB2 U2</v>
      </c>
      <c r="C32" s="3" t="str">
        <f>_xlfn.XLOOKUP(C29, Data_Multis[Multi ID], Data_Multis[Line 2], "")</f>
        <v>SLW2 U13</v>
      </c>
      <c r="D32" s="3" t="str">
        <f>_xlfn.XLOOKUP(D29, Data_Multis[Multi ID], Data_Multis[Line 2], "")</f>
        <v>THR2 U18</v>
      </c>
      <c r="E32" s="3" t="str">
        <f>_xlfn.XLOOKUP(E29, Data_Multis[Multi ID], Data_Multis[Line 2], "")</f>
        <v/>
      </c>
      <c r="F32" s="3" t="str">
        <f>_xlfn.XLOOKUP(F29, Data_Multis[Multi ID], Data_Multis[Line 2], "")</f>
        <v>DSL2 U23</v>
      </c>
      <c r="G32" s="3" t="str">
        <f>_xlfn.XLOOKUP(G29, Data_Multis[Multi ID], Data_Multis[Line 2], "")</f>
        <v/>
      </c>
      <c r="H32" s="3" t="str">
        <f>_xlfn.XLOOKUP(H29, Data_Multis[Multi ID], Data_Multis[Line 2], "")</f>
        <v>SRL2 U26</v>
      </c>
      <c r="I32" s="3" t="str">
        <f>_xlfn.XLOOKUP(I29, Data_Multis[Multi ID], Data_Multis[Line 2], "")</f>
        <v>SLL2 U30</v>
      </c>
      <c r="J32"/>
      <c r="K32"/>
      <c r="L32"/>
      <c r="M32"/>
      <c r="N32"/>
      <c r="O32"/>
      <c r="P32"/>
      <c r="Q32"/>
      <c r="R32"/>
    </row>
    <row r="33" spans="1:18">
      <c r="A33" s="4" t="s">
        <v>25</v>
      </c>
      <c r="B33" s="3" t="str">
        <f>_xlfn.XLOOKUP(B29, Data_Multis[Multi ID], Data_Multis[Line 3], "")</f>
        <v/>
      </c>
      <c r="C33" s="3" t="str">
        <f>_xlfn.XLOOKUP(C29, Data_Multis[Multi ID], Data_Multis[Line 3], "")</f>
        <v/>
      </c>
      <c r="D33" s="3" t="str">
        <f>_xlfn.XLOOKUP(D29, Data_Multis[Multi ID], Data_Multis[Line 3], "")</f>
        <v>THR3 U19</v>
      </c>
      <c r="E33" s="3" t="str">
        <f>_xlfn.XLOOKUP(E29, Data_Multis[Multi ID], Data_Multis[Line 3], "")</f>
        <v/>
      </c>
      <c r="F33" s="3" t="str">
        <f>_xlfn.XLOOKUP(F29, Data_Multis[Multi ID], Data_Multis[Line 3], "")</f>
        <v/>
      </c>
      <c r="G33" s="3" t="str">
        <f>_xlfn.XLOOKUP(G29, Data_Multis[Multi ID], Data_Multis[Line 3], "")</f>
        <v/>
      </c>
      <c r="H33" s="3" t="str">
        <f>_xlfn.XLOOKUP(H29, Data_Multis[Multi ID], Data_Multis[Line 3], "")</f>
        <v>SRL3 U27</v>
      </c>
      <c r="I33" s="3" t="str">
        <f>_xlfn.XLOOKUP(I29, Data_Multis[Multi ID], Data_Multis[Line 3], "")</f>
        <v>SLL3 U31</v>
      </c>
      <c r="J33"/>
      <c r="K33"/>
      <c r="L33"/>
      <c r="M33"/>
      <c r="N33"/>
      <c r="O33"/>
      <c r="P33"/>
      <c r="Q33"/>
      <c r="R33"/>
    </row>
    <row r="34" spans="1:18">
      <c r="A34" s="4" t="s">
        <v>26</v>
      </c>
      <c r="B34" s="3" t="str">
        <f>_xlfn.XLOOKUP(B29, Data_Multis[Multi ID], Data_Multis[Line 4], "")</f>
        <v/>
      </c>
      <c r="C34" s="3" t="str">
        <f>_xlfn.XLOOKUP(C29, Data_Multis[Multi ID], Data_Multis[Line 4], "")</f>
        <v/>
      </c>
      <c r="D34" s="3" t="str">
        <f>_xlfn.XLOOKUP(D29, Data_Multis[Multi ID], Data_Multis[Line 4], "")</f>
        <v>THR4 U20</v>
      </c>
      <c r="E34" s="3" t="str">
        <f>_xlfn.XLOOKUP(E29, Data_Multis[Multi ID], Data_Multis[Line 4], "")</f>
        <v/>
      </c>
      <c r="F34" s="3" t="str">
        <f>_xlfn.XLOOKUP(F29, Data_Multis[Multi ID], Data_Multis[Line 4], "")</f>
        <v/>
      </c>
      <c r="G34" s="3" t="str">
        <f>_xlfn.XLOOKUP(G29, Data_Multis[Multi ID], Data_Multis[Line 4], "")</f>
        <v/>
      </c>
      <c r="H34" s="3" t="str">
        <f>_xlfn.XLOOKUP(H29, Data_Multis[Multi ID], Data_Multis[Line 4], "")</f>
        <v>SRL4 U28</v>
      </c>
      <c r="I34" s="3" t="str">
        <f>_xlfn.XLOOKUP(I29, Data_Multis[Multi ID], Data_Multis[Line 4], "")</f>
        <v>SLL4 U32</v>
      </c>
      <c r="J34"/>
      <c r="K34"/>
      <c r="L34"/>
      <c r="M34"/>
      <c r="N34"/>
      <c r="O34"/>
      <c r="P34"/>
      <c r="Q34"/>
      <c r="R34"/>
    </row>
    <row r="36" spans="1:18">
      <c r="A36" s="4" t="s">
        <v>27</v>
      </c>
      <c r="B36" s="5" t="s">
        <v>6</v>
      </c>
      <c r="C36" s="5" t="s">
        <v>7</v>
      </c>
      <c r="D36" s="5" t="s">
        <v>8</v>
      </c>
      <c r="E36" s="5" t="s">
        <v>9</v>
      </c>
      <c r="F36" s="5" t="s">
        <v>10</v>
      </c>
      <c r="G36" s="5" t="s">
        <v>11</v>
      </c>
      <c r="H36" s="5" t="s">
        <v>12</v>
      </c>
      <c r="I36" s="5" t="s">
        <v>13</v>
      </c>
      <c r="J36" s="18"/>
    </row>
    <row r="37" spans="1:18">
      <c r="A37" s="3"/>
      <c r="B37" s="5"/>
      <c r="C37" s="5"/>
      <c r="D37" s="5"/>
      <c r="E37" s="5"/>
      <c r="F37" s="5"/>
      <c r="G37" s="5"/>
      <c r="H37" s="5"/>
      <c r="I37" s="5"/>
      <c r="J37" s="18" t="s">
        <v>16</v>
      </c>
    </row>
    <row r="38" spans="1:18">
      <c r="B38" s="3"/>
      <c r="C38" s="3"/>
      <c r="D38" s="3"/>
      <c r="E38" s="3"/>
      <c r="F38" s="3"/>
      <c r="G38" s="3"/>
      <c r="H38" s="3"/>
      <c r="I38" s="3"/>
      <c r="J38" s="18" t="s">
        <v>0</v>
      </c>
    </row>
    <row r="39" spans="1:18">
      <c r="J39" s="18"/>
    </row>
    <row r="40" spans="1:18">
      <c r="A40" s="4" t="s">
        <v>27</v>
      </c>
      <c r="B40" s="5" t="s">
        <v>6</v>
      </c>
      <c r="C40" s="5" t="s">
        <v>7</v>
      </c>
      <c r="D40" s="5" t="s">
        <v>8</v>
      </c>
      <c r="E40" s="5" t="s">
        <v>9</v>
      </c>
      <c r="F40" s="5" t="s">
        <v>10</v>
      </c>
      <c r="G40" s="5" t="s">
        <v>11</v>
      </c>
      <c r="H40" s="5" t="s">
        <v>12</v>
      </c>
      <c r="I40" s="5" t="s">
        <v>13</v>
      </c>
      <c r="J40" s="18"/>
    </row>
    <row r="41" spans="1:18">
      <c r="A41" s="3"/>
      <c r="B41" s="5"/>
      <c r="C41" s="5"/>
      <c r="D41" s="5"/>
      <c r="E41" s="5"/>
      <c r="F41" s="5"/>
      <c r="G41" s="5"/>
      <c r="H41" s="5"/>
      <c r="I41" s="5"/>
      <c r="J41" s="18" t="s">
        <v>16</v>
      </c>
    </row>
    <row r="42" spans="1:18">
      <c r="B42" s="3"/>
      <c r="C42" s="3"/>
      <c r="D42" s="3"/>
      <c r="E42" s="3"/>
      <c r="F42" s="3"/>
      <c r="G42" s="3"/>
      <c r="H42" s="3"/>
      <c r="I42" s="3"/>
      <c r="J42" s="18" t="s">
        <v>0</v>
      </c>
    </row>
    <row r="43" spans="1:18">
      <c r="J43" s="18"/>
    </row>
    <row r="44" spans="1:18">
      <c r="A44" s="4" t="s">
        <v>27</v>
      </c>
      <c r="B44" s="5" t="s">
        <v>6</v>
      </c>
      <c r="C44" s="5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18"/>
    </row>
    <row r="45" spans="1:18">
      <c r="A45" s="3"/>
      <c r="B45" s="5"/>
      <c r="C45" s="5"/>
      <c r="D45" s="5"/>
      <c r="E45" s="5"/>
      <c r="F45" s="5"/>
      <c r="G45" s="5"/>
      <c r="H45" s="5"/>
      <c r="I45" s="5"/>
      <c r="J45" s="18" t="s">
        <v>16</v>
      </c>
    </row>
    <row r="46" spans="1:18">
      <c r="B46" s="3"/>
      <c r="C46" s="3"/>
      <c r="D46" s="3"/>
      <c r="E46" s="3"/>
      <c r="F46" s="3"/>
      <c r="G46" s="3"/>
      <c r="H46" s="3"/>
      <c r="I46" s="3"/>
      <c r="J46" s="18" t="s">
        <v>0</v>
      </c>
    </row>
    <row r="47" spans="1:18">
      <c r="J47" s="18"/>
    </row>
    <row r="48" spans="1:18">
      <c r="A48" s="4" t="s">
        <v>27</v>
      </c>
      <c r="B48" s="5" t="s">
        <v>6</v>
      </c>
      <c r="C48" s="5" t="s">
        <v>7</v>
      </c>
      <c r="D48" s="5" t="s">
        <v>8</v>
      </c>
      <c r="E48" s="5" t="s">
        <v>9</v>
      </c>
      <c r="F48" s="5" t="s">
        <v>10</v>
      </c>
      <c r="G48" s="5" t="s">
        <v>11</v>
      </c>
      <c r="H48" s="5" t="s">
        <v>12</v>
      </c>
      <c r="I48" s="5" t="s">
        <v>13</v>
      </c>
      <c r="J48" s="18"/>
    </row>
    <row r="49" spans="1:10">
      <c r="A49" s="3"/>
      <c r="B49" s="5"/>
      <c r="C49" s="5"/>
      <c r="D49" s="5"/>
      <c r="E49" s="5"/>
      <c r="F49" s="5"/>
      <c r="G49" s="5"/>
      <c r="H49" s="5"/>
      <c r="I49" s="5"/>
      <c r="J49" s="18" t="s">
        <v>16</v>
      </c>
    </row>
    <row r="50" spans="1:10">
      <c r="B50" s="3"/>
      <c r="C50" s="3"/>
      <c r="D50" s="3"/>
      <c r="E50" s="3"/>
      <c r="F50" s="3"/>
      <c r="G50" s="3"/>
      <c r="H50" s="3"/>
      <c r="I50" s="3"/>
      <c r="J50" s="18" t="s">
        <v>0</v>
      </c>
    </row>
  </sheetData>
  <mergeCells count="10">
    <mergeCell ref="A1:C1"/>
    <mergeCell ref="N11:O11"/>
    <mergeCell ref="B27:B28"/>
    <mergeCell ref="C27:C28"/>
    <mergeCell ref="D27:D28"/>
    <mergeCell ref="E27:E28"/>
    <mergeCell ref="F27:F28"/>
    <mergeCell ref="G27:G28"/>
    <mergeCell ref="H27:H28"/>
    <mergeCell ref="I27:I28"/>
  </mergeCells>
  <conditionalFormatting sqref="B4:I4">
    <cfRule type="expression" dxfId="59" priority="41">
      <formula>_xlfn.XLOOKUP($A2&amp;"-"&amp;B$2, Data_Patch_Lookup, Data_Patch_Color_Lookup, "") = "black"</formula>
    </cfRule>
    <cfRule type="expression" dxfId="58" priority="42">
      <formula>_xlfn.XLOOKUP($A2&amp;"-"&amp;B$2, Data_Patch_Lookup, Data_Patch_Color_Lookup, "") = "purple"</formula>
    </cfRule>
    <cfRule type="expression" dxfId="57" priority="43">
      <formula>_xlfn.XLOOKUP($A2&amp;"-"&amp;B$2, Data_Patch_Lookup, Data_Patch_Color_Lookup, "") = "grey"</formula>
    </cfRule>
    <cfRule type="expression" dxfId="56" priority="44">
      <formula>_xlfn.XLOOKUP($A2&amp;"-"&amp;B$2, Data_Patch_Lookup, Data_Patch_Color_Lookup, "") = "brown"</formula>
    </cfRule>
    <cfRule type="expression" dxfId="55" priority="45">
      <formula>_xlfn.XLOOKUP($A2&amp;"-"&amp;B$2, Data_Patch_Lookup, Data_Patch_Color_Lookup, "") = "yellow"</formula>
    </cfRule>
    <cfRule type="expression" dxfId="54" priority="46">
      <formula>_xlfn.XLOOKUP($A2&amp;"-"&amp;B$2, Data_Patch_Lookup, Data_Patch_Color_Lookup, "") = "orange"</formula>
    </cfRule>
    <cfRule type="expression" dxfId="53" priority="47">
      <formula>_xlfn.XLOOKUP($A2&amp;"-"&amp;B$2, Data_Patch_Lookup, Data_Patch_Color_Lookup, "") = "green"</formula>
    </cfRule>
    <cfRule type="expression" dxfId="52" priority="48">
      <formula>_xlfn.XLOOKUP($A2&amp;"-"&amp;B$2, Data_Patch_Lookup, Data_Patch_Color_Lookup, "") = "red"</formula>
    </cfRule>
    <cfRule type="expression" dxfId="51" priority="49">
      <formula>_xlfn.XLOOKUP($A2&amp;"-"&amp;B$2, Data_Patch_Lookup, Data_Patch_Color_Lookup, "") = "white"</formula>
    </cfRule>
    <cfRule type="expression" dxfId="50" priority="50">
      <formula>_xlfn.XLOOKUP($A2&amp;"-"&amp;B$2, Data_Patch_Lookup, Data_Patch_Color_Lookup, "") = "blue"</formula>
    </cfRule>
  </conditionalFormatting>
  <conditionalFormatting sqref="B9:I9">
    <cfRule type="expression" dxfId="49" priority="31">
      <formula>_xlfn.XLOOKUP($A7&amp;"-"&amp;B$2, Data_Patch_Lookup, Data_Patch_Color_Lookup, "") = "black"</formula>
    </cfRule>
    <cfRule type="expression" dxfId="48" priority="32">
      <formula>_xlfn.XLOOKUP($A7&amp;"-"&amp;B$2, Data_Patch_Lookup, Data_Patch_Color_Lookup, "") = "purple"</formula>
    </cfRule>
    <cfRule type="expression" dxfId="47" priority="33">
      <formula>_xlfn.XLOOKUP($A7&amp;"-"&amp;B$2, Data_Patch_Lookup, Data_Patch_Color_Lookup, "") = "grey"</formula>
    </cfRule>
    <cfRule type="expression" dxfId="46" priority="34">
      <formula>_xlfn.XLOOKUP($A7&amp;"-"&amp;B$2, Data_Patch_Lookup, Data_Patch_Color_Lookup, "") = "brown"</formula>
    </cfRule>
    <cfRule type="expression" dxfId="45" priority="35">
      <formula>_xlfn.XLOOKUP($A7&amp;"-"&amp;B$2, Data_Patch_Lookup, Data_Patch_Color_Lookup, "") = "yellow"</formula>
    </cfRule>
    <cfRule type="expression" dxfId="44" priority="36">
      <formula>_xlfn.XLOOKUP($A7&amp;"-"&amp;B$2, Data_Patch_Lookup, Data_Patch_Color_Lookup, "") = "orange"</formula>
    </cfRule>
    <cfRule type="expression" dxfId="43" priority="37">
      <formula>_xlfn.XLOOKUP($A7&amp;"-"&amp;B$2, Data_Patch_Lookup, Data_Patch_Color_Lookup, "") = "green"</formula>
    </cfRule>
    <cfRule type="expression" dxfId="42" priority="38">
      <formula>_xlfn.XLOOKUP($A7&amp;"-"&amp;B$2, Data_Patch_Lookup, Data_Patch_Color_Lookup, "") = "red"</formula>
    </cfRule>
    <cfRule type="expression" dxfId="41" priority="39">
      <formula>_xlfn.XLOOKUP($A7&amp;"-"&amp;B$2, Data_Patch_Lookup, Data_Patch_Color_Lookup, "") = "white"</formula>
    </cfRule>
    <cfRule type="expression" dxfId="40" priority="40">
      <formula>_xlfn.XLOOKUP($A7&amp;"-"&amp;B$2, Data_Patch_Lookup, Data_Patch_Color_Lookup, "") = "blue"</formula>
    </cfRule>
  </conditionalFormatting>
  <conditionalFormatting sqref="B14:I14">
    <cfRule type="expression" dxfId="39" priority="21">
      <formula>_xlfn.XLOOKUP($A12&amp;"-"&amp;B$2, Data_Patch_Lookup, Data_Patch_Color_Lookup, "") = "black"</formula>
    </cfRule>
    <cfRule type="expression" dxfId="38" priority="22">
      <formula>_xlfn.XLOOKUP($A12&amp;"-"&amp;B$2, Data_Patch_Lookup, Data_Patch_Color_Lookup, "") = "purple"</formula>
    </cfRule>
    <cfRule type="expression" dxfId="37" priority="23">
      <formula>_xlfn.XLOOKUP($A12&amp;"-"&amp;B$2, Data_Patch_Lookup, Data_Patch_Color_Lookup, "") = "grey"</formula>
    </cfRule>
    <cfRule type="expression" dxfId="36" priority="24">
      <formula>_xlfn.XLOOKUP($A12&amp;"-"&amp;B$2, Data_Patch_Lookup, Data_Patch_Color_Lookup, "") = "brown"</formula>
    </cfRule>
    <cfRule type="expression" dxfId="35" priority="25">
      <formula>_xlfn.XLOOKUP($A12&amp;"-"&amp;B$2, Data_Patch_Lookup, Data_Patch_Color_Lookup, "") = "yellow"</formula>
    </cfRule>
    <cfRule type="expression" dxfId="34" priority="26">
      <formula>_xlfn.XLOOKUP($A12&amp;"-"&amp;B$2, Data_Patch_Lookup, Data_Patch_Color_Lookup, "") = "orange"</formula>
    </cfRule>
    <cfRule type="expression" dxfId="33" priority="27">
      <formula>_xlfn.XLOOKUP($A12&amp;"-"&amp;B$2, Data_Patch_Lookup, Data_Patch_Color_Lookup, "") = "green"</formula>
    </cfRule>
    <cfRule type="expression" dxfId="32" priority="28">
      <formula>_xlfn.XLOOKUP($A12&amp;"-"&amp;B$2, Data_Patch_Lookup, Data_Patch_Color_Lookup, "") = "red"</formula>
    </cfRule>
    <cfRule type="expression" dxfId="31" priority="29">
      <formula>_xlfn.XLOOKUP($A12&amp;"-"&amp;B$2, Data_Patch_Lookup, Data_Patch_Color_Lookup, "") = "white"</formula>
    </cfRule>
    <cfRule type="expression" dxfId="30" priority="30">
      <formula>_xlfn.XLOOKUP($A12&amp;"-"&amp;B$2, Data_Patch_Lookup, Data_Patch_Color_Lookup, "") = "blue"</formula>
    </cfRule>
  </conditionalFormatting>
  <conditionalFormatting sqref="B19:I19">
    <cfRule type="expression" dxfId="29" priority="11">
      <formula>_xlfn.XLOOKUP($A17&amp;"-"&amp;B$2, Data_Patch_Lookup, Data_Patch_Color_Lookup, "") = "black"</formula>
    </cfRule>
    <cfRule type="expression" dxfId="28" priority="12">
      <formula>_xlfn.XLOOKUP($A17&amp;"-"&amp;B$2, Data_Patch_Lookup, Data_Patch_Color_Lookup, "") = "purple"</formula>
    </cfRule>
    <cfRule type="expression" dxfId="27" priority="13">
      <formula>_xlfn.XLOOKUP($A17&amp;"-"&amp;B$2, Data_Patch_Lookup, Data_Patch_Color_Lookup, "") = "grey"</formula>
    </cfRule>
    <cfRule type="expression" dxfId="26" priority="14">
      <formula>_xlfn.XLOOKUP($A17&amp;"-"&amp;B$2, Data_Patch_Lookup, Data_Patch_Color_Lookup, "") = "brown"</formula>
    </cfRule>
    <cfRule type="expression" dxfId="25" priority="15">
      <formula>_xlfn.XLOOKUP($A17&amp;"-"&amp;B$2, Data_Patch_Lookup, Data_Patch_Color_Lookup, "") = "yellow"</formula>
    </cfRule>
    <cfRule type="expression" dxfId="24" priority="16">
      <formula>_xlfn.XLOOKUP($A17&amp;"-"&amp;B$2, Data_Patch_Lookup, Data_Patch_Color_Lookup, "") = "orange"</formula>
    </cfRule>
    <cfRule type="expression" dxfId="23" priority="17">
      <formula>_xlfn.XLOOKUP($A17&amp;"-"&amp;B$2, Data_Patch_Lookup, Data_Patch_Color_Lookup, "") = "green"</formula>
    </cfRule>
    <cfRule type="expression" dxfId="22" priority="18">
      <formula>_xlfn.XLOOKUP($A17&amp;"-"&amp;B$2, Data_Patch_Lookup, Data_Patch_Color_Lookup, "") = "red"</formula>
    </cfRule>
    <cfRule type="expression" dxfId="21" priority="19">
      <formula>_xlfn.XLOOKUP($A17&amp;"-"&amp;B$2, Data_Patch_Lookup, Data_Patch_Color_Lookup, "") = "white"</formula>
    </cfRule>
    <cfRule type="expression" dxfId="20" priority="20">
      <formula>_xlfn.XLOOKUP($A17&amp;"-"&amp;B$2, Data_Patch_Lookup, Data_Patch_Color_Lookup, "") = "blue"</formula>
    </cfRule>
  </conditionalFormatting>
  <conditionalFormatting sqref="B24:I24">
    <cfRule type="expression" dxfId="19" priority="1">
      <formula>_xlfn.XLOOKUP($A22&amp;"-"&amp;B$2, Data_Patch_Lookup, Data_Patch_Color_Lookup, "") = "black"</formula>
    </cfRule>
    <cfRule type="expression" dxfId="18" priority="2">
      <formula>_xlfn.XLOOKUP($A22&amp;"-"&amp;B$2, Data_Patch_Lookup, Data_Patch_Color_Lookup, "") = "purple"</formula>
    </cfRule>
    <cfRule type="expression" dxfId="17" priority="3">
      <formula>_xlfn.XLOOKUP($A22&amp;"-"&amp;B$2, Data_Patch_Lookup, Data_Patch_Color_Lookup, "") = "grey"</formula>
    </cfRule>
    <cfRule type="expression" dxfId="16" priority="4">
      <formula>_xlfn.XLOOKUP($A22&amp;"-"&amp;B$2, Data_Patch_Lookup, Data_Patch_Color_Lookup, "") = "brown"</formula>
    </cfRule>
    <cfRule type="expression" dxfId="15" priority="5">
      <formula>_xlfn.XLOOKUP($A22&amp;"-"&amp;B$2, Data_Patch_Lookup, Data_Patch_Color_Lookup, "") = "yellow"</formula>
    </cfRule>
    <cfRule type="expression" dxfId="14" priority="6">
      <formula>_xlfn.XLOOKUP($A22&amp;"-"&amp;B$2, Data_Patch_Lookup, Data_Patch_Color_Lookup, "") = "orange"</formula>
    </cfRule>
    <cfRule type="expression" dxfId="13" priority="7">
      <formula>_xlfn.XLOOKUP($A22&amp;"-"&amp;B$2, Data_Patch_Lookup, Data_Patch_Color_Lookup, "") = "green"</formula>
    </cfRule>
    <cfRule type="expression" dxfId="12" priority="8">
      <formula>_xlfn.XLOOKUP($A22&amp;"-"&amp;B$2, Data_Patch_Lookup, Data_Patch_Color_Lookup, "") = "red"</formula>
    </cfRule>
    <cfRule type="expression" dxfId="11" priority="9">
      <formula>_xlfn.XLOOKUP($A22&amp;"-"&amp;B$2, Data_Patch_Lookup, Data_Patch_Color_Lookup, "") = "white"</formula>
    </cfRule>
    <cfRule type="expression" dxfId="10" priority="10">
      <formula>_xlfn.XLOOKUP($A22&amp;"-"&amp;B$2, Data_Patch_Lookup, Data_Patch_Color_Lookup, "") = "blue"</formula>
    </cfRule>
  </conditionalFormatting>
  <conditionalFormatting sqref="B30:I30">
    <cfRule type="expression" dxfId="9" priority="152" stopIfTrue="1">
      <formula>_xlfn.XLOOKUP(B30,#REF!,#REF!, "") = "purple"</formula>
    </cfRule>
    <cfRule type="expression" dxfId="8" priority="153" stopIfTrue="1">
      <formula>_xlfn.XLOOKUP(B30,#REF!,#REF!, "") = "brown"</formula>
    </cfRule>
    <cfRule type="expression" dxfId="7" priority="154" stopIfTrue="1">
      <formula>_xlfn.XLOOKUP(B30,#REF!,#REF!, "") = "orange"</formula>
    </cfRule>
    <cfRule type="expression" dxfId="6" priority="155" stopIfTrue="1">
      <formula>_xlfn.XLOOKUP(B30,#REF!,#REF!, "") = "yellow"</formula>
    </cfRule>
    <cfRule type="expression" dxfId="5" priority="156" stopIfTrue="1">
      <formula>_xlfn.XLOOKUP(B30,#REF!,#REF!, "") = "grey"</formula>
    </cfRule>
    <cfRule type="expression" dxfId="4" priority="157" stopIfTrue="1">
      <formula>_xlfn.XLOOKUP(B30,#REF!,#REF!, "") = "green"</formula>
    </cfRule>
    <cfRule type="expression" dxfId="3" priority="158" stopIfTrue="1">
      <formula>_xlfn.XLOOKUP(B30,#REF!,#REF!, "") = "blue"</formula>
    </cfRule>
    <cfRule type="expression" dxfId="2" priority="159" stopIfTrue="1">
      <formula>_xlfn.XLOOKUP(B30,#REF!,#REF!, "") = "red"</formula>
    </cfRule>
    <cfRule type="expression" dxfId="1" priority="160" stopIfTrue="1">
      <formula>_xlfn.XLOOKUP(B30,#REF!,#REF!, "") = "white"</formula>
    </cfRule>
  </conditionalFormatting>
  <conditionalFormatting sqref="N2">
    <cfRule type="cellIs" dxfId="0" priority="51" operator="greaterThan">
      <formula>$N$3</formula>
    </cfRule>
  </conditionalFormatting>
  <pageMargins left="0.7" right="0.7" top="0.75" bottom="0.75" header="0.3" footer="0.3"/>
  <pageSetup scale="52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BE4B-6A7C-42E2-B6D0-9619A5565534}">
  <sheetPr>
    <tabColor rgb="FF7030A0"/>
  </sheetPr>
  <dimension ref="A1:C4"/>
  <sheetViews>
    <sheetView workbookViewId="0">
      <selection activeCell="B6" sqref="B6"/>
    </sheetView>
  </sheetViews>
  <sheetFormatPr defaultRowHeight="14.4"/>
  <cols>
    <col min="1" max="1" width="21" customWidth="1"/>
    <col min="2" max="2" width="63.33203125" customWidth="1"/>
    <col min="3" max="3" width="68.21875" customWidth="1"/>
  </cols>
  <sheetData>
    <row r="1" spans="1:3" ht="15.6">
      <c r="A1" s="24" t="s">
        <v>49</v>
      </c>
      <c r="B1" s="24" t="s">
        <v>50</v>
      </c>
      <c r="C1" s="24" t="s">
        <v>51</v>
      </c>
    </row>
    <row r="2" spans="1:3">
      <c r="A2" t="s">
        <v>52</v>
      </c>
      <c r="B2" s="25" t="str" cm="1">
        <f t="array" aca="1" ref="B2" ca="1">LEFT(CELL("filename"),FIND("[",CELL("filename"),1)-1)</f>
        <v>C:\Users\charl\Documents\Code Projects\sidekick\assets\excel\</v>
      </c>
      <c r="C2" t="s">
        <v>53</v>
      </c>
    </row>
    <row r="3" spans="1:3">
      <c r="A3" t="s">
        <v>55</v>
      </c>
      <c r="B3" t="s">
        <v>54</v>
      </c>
    </row>
    <row r="4" spans="1:3">
      <c r="A4" t="s">
        <v>56</v>
      </c>
      <c r="B4" s="26">
        <v>1</v>
      </c>
      <c r="C4" t="s">
        <v>57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F565-DA2C-4886-8353-9F5A1CCEE2F8}">
  <sheetPr>
    <tabColor rgb="FF7030A0"/>
  </sheetPr>
  <dimension ref="A1:T145"/>
  <sheetViews>
    <sheetView workbookViewId="0">
      <selection activeCell="L14" sqref="L14"/>
    </sheetView>
  </sheetViews>
  <sheetFormatPr defaultRowHeight="14.4"/>
  <cols>
    <col min="1" max="1" width="14.5546875" bestFit="1" customWidth="1"/>
    <col min="2" max="2" width="14.21875" bestFit="1" customWidth="1"/>
    <col min="3" max="3" width="10.5546875" bestFit="1" customWidth="1"/>
    <col min="4" max="4" width="7.88671875" bestFit="1" customWidth="1"/>
    <col min="5" max="5" width="7.33203125" bestFit="1" customWidth="1"/>
    <col min="6" max="6" width="7.6640625" bestFit="1" customWidth="1"/>
    <col min="13" max="13" width="14.5546875" bestFit="1" customWidth="1"/>
    <col min="14" max="14" width="9.88671875" bestFit="1" customWidth="1"/>
    <col min="15" max="15" width="13.109375" bestFit="1" customWidth="1"/>
    <col min="16" max="16" width="10.33203125" bestFit="1" customWidth="1"/>
    <col min="17" max="17" width="9.44140625" bestFit="1" customWidth="1"/>
    <col min="18" max="19" width="9.21875" bestFit="1" customWidth="1"/>
    <col min="20" max="20" width="7.6640625" bestFit="1" customWidth="1"/>
  </cols>
  <sheetData>
    <row r="1" spans="1:20">
      <c r="A1" t="s">
        <v>58</v>
      </c>
      <c r="B1" t="s">
        <v>31</v>
      </c>
      <c r="C1" t="s">
        <v>32</v>
      </c>
      <c r="D1" t="s">
        <v>33</v>
      </c>
      <c r="E1" t="s">
        <v>34</v>
      </c>
      <c r="F1" t="s">
        <v>41</v>
      </c>
      <c r="M1" t="s">
        <v>58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</row>
    <row r="2" spans="1:20">
      <c r="A2">
        <v>1</v>
      </c>
      <c r="B2" s="39" t="s">
        <v>59</v>
      </c>
      <c r="C2">
        <v>1</v>
      </c>
      <c r="D2" s="39" t="s">
        <v>60</v>
      </c>
      <c r="E2" s="39" t="s">
        <v>61</v>
      </c>
      <c r="F2" s="39" t="s">
        <v>62</v>
      </c>
      <c r="M2">
        <v>1</v>
      </c>
      <c r="N2">
        <v>1</v>
      </c>
      <c r="O2" t="s">
        <v>60</v>
      </c>
      <c r="P2" t="s">
        <v>237</v>
      </c>
      <c r="Q2" t="s">
        <v>238</v>
      </c>
      <c r="R2" t="s">
        <v>66</v>
      </c>
      <c r="S2" t="s">
        <v>66</v>
      </c>
      <c r="T2" t="s">
        <v>62</v>
      </c>
    </row>
    <row r="3" spans="1:20">
      <c r="A3">
        <v>1</v>
      </c>
      <c r="B3" s="39" t="s">
        <v>63</v>
      </c>
      <c r="C3">
        <v>2</v>
      </c>
      <c r="D3" s="39" t="s">
        <v>64</v>
      </c>
      <c r="E3" s="39" t="s">
        <v>61</v>
      </c>
      <c r="F3" s="39" t="s">
        <v>62</v>
      </c>
      <c r="M3">
        <v>1</v>
      </c>
      <c r="N3">
        <v>2</v>
      </c>
      <c r="O3" t="s">
        <v>69</v>
      </c>
      <c r="P3" t="s">
        <v>239</v>
      </c>
      <c r="Q3" t="s">
        <v>240</v>
      </c>
      <c r="R3" t="s">
        <v>66</v>
      </c>
      <c r="S3" t="s">
        <v>66</v>
      </c>
      <c r="T3" t="s">
        <v>70</v>
      </c>
    </row>
    <row r="4" spans="1:20">
      <c r="A4">
        <v>1</v>
      </c>
      <c r="B4" s="39" t="s">
        <v>65</v>
      </c>
      <c r="C4">
        <v>0</v>
      </c>
      <c r="D4" s="39" t="s">
        <v>66</v>
      </c>
      <c r="E4" s="39" t="s">
        <v>66</v>
      </c>
      <c r="F4" s="39" t="s">
        <v>66</v>
      </c>
      <c r="M4">
        <v>1</v>
      </c>
      <c r="N4">
        <v>3</v>
      </c>
      <c r="O4" t="s">
        <v>96</v>
      </c>
      <c r="P4" t="s">
        <v>241</v>
      </c>
      <c r="Q4" t="s">
        <v>242</v>
      </c>
      <c r="R4" t="s">
        <v>243</v>
      </c>
      <c r="S4" t="s">
        <v>244</v>
      </c>
      <c r="T4" t="s">
        <v>97</v>
      </c>
    </row>
    <row r="5" spans="1:20">
      <c r="A5">
        <v>1</v>
      </c>
      <c r="B5" s="39" t="s">
        <v>67</v>
      </c>
      <c r="C5">
        <v>0</v>
      </c>
      <c r="D5" s="39" t="s">
        <v>66</v>
      </c>
      <c r="E5" s="39" t="s">
        <v>66</v>
      </c>
      <c r="F5" s="39" t="s">
        <v>66</v>
      </c>
      <c r="M5">
        <v>1</v>
      </c>
      <c r="N5">
        <v>4</v>
      </c>
      <c r="O5" t="s">
        <v>99</v>
      </c>
      <c r="P5" t="s">
        <v>245</v>
      </c>
      <c r="Q5" t="s">
        <v>66</v>
      </c>
      <c r="R5" t="s">
        <v>66</v>
      </c>
      <c r="S5" t="s">
        <v>66</v>
      </c>
      <c r="T5" t="s">
        <v>97</v>
      </c>
    </row>
    <row r="6" spans="1:20">
      <c r="A6">
        <v>1</v>
      </c>
      <c r="B6" s="39" t="s">
        <v>68</v>
      </c>
      <c r="C6">
        <v>12</v>
      </c>
      <c r="D6" s="39" t="s">
        <v>69</v>
      </c>
      <c r="E6" s="39" t="s">
        <v>61</v>
      </c>
      <c r="F6" s="39" t="s">
        <v>70</v>
      </c>
      <c r="M6">
        <v>1</v>
      </c>
      <c r="N6">
        <v>5</v>
      </c>
      <c r="O6" t="s">
        <v>110</v>
      </c>
      <c r="P6" t="s">
        <v>246</v>
      </c>
      <c r="Q6" t="s">
        <v>247</v>
      </c>
      <c r="R6" t="s">
        <v>66</v>
      </c>
      <c r="S6" t="s">
        <v>66</v>
      </c>
      <c r="T6" t="s">
        <v>97</v>
      </c>
    </row>
    <row r="7" spans="1:20">
      <c r="A7">
        <v>1</v>
      </c>
      <c r="B7" s="39" t="s">
        <v>71</v>
      </c>
      <c r="C7">
        <v>13</v>
      </c>
      <c r="D7" s="39" t="s">
        <v>72</v>
      </c>
      <c r="E7" s="39" t="s">
        <v>61</v>
      </c>
      <c r="F7" s="39" t="s">
        <v>70</v>
      </c>
      <c r="M7">
        <v>1</v>
      </c>
      <c r="N7">
        <v>6</v>
      </c>
      <c r="O7" t="s">
        <v>116</v>
      </c>
      <c r="P7" t="s">
        <v>248</v>
      </c>
      <c r="Q7" t="s">
        <v>66</v>
      </c>
      <c r="R7" t="s">
        <v>66</v>
      </c>
      <c r="S7" t="s">
        <v>66</v>
      </c>
      <c r="T7" t="s">
        <v>97</v>
      </c>
    </row>
    <row r="8" spans="1:20">
      <c r="A8">
        <v>1</v>
      </c>
      <c r="B8" s="39" t="s">
        <v>73</v>
      </c>
      <c r="C8">
        <v>0</v>
      </c>
      <c r="D8" s="39" t="s">
        <v>66</v>
      </c>
      <c r="E8" s="39" t="s">
        <v>66</v>
      </c>
      <c r="F8" s="39" t="s">
        <v>66</v>
      </c>
      <c r="M8">
        <v>1</v>
      </c>
      <c r="N8">
        <v>7</v>
      </c>
      <c r="O8" t="s">
        <v>121</v>
      </c>
      <c r="P8" t="s">
        <v>249</v>
      </c>
      <c r="Q8" t="s">
        <v>250</v>
      </c>
      <c r="R8" t="s">
        <v>251</v>
      </c>
      <c r="S8" t="s">
        <v>252</v>
      </c>
      <c r="T8" t="s">
        <v>122</v>
      </c>
    </row>
    <row r="9" spans="1:20">
      <c r="A9">
        <v>1</v>
      </c>
      <c r="B9" s="39" t="s">
        <v>74</v>
      </c>
      <c r="C9">
        <v>0</v>
      </c>
      <c r="D9" s="39" t="s">
        <v>66</v>
      </c>
      <c r="E9" s="39" t="s">
        <v>66</v>
      </c>
      <c r="F9" s="39" t="s">
        <v>66</v>
      </c>
      <c r="M9">
        <v>1</v>
      </c>
      <c r="N9">
        <v>8</v>
      </c>
      <c r="O9" t="s">
        <v>130</v>
      </c>
      <c r="P9" t="s">
        <v>253</v>
      </c>
      <c r="Q9" t="s">
        <v>254</v>
      </c>
      <c r="R9" t="s">
        <v>255</v>
      </c>
      <c r="S9" t="s">
        <v>256</v>
      </c>
      <c r="T9" t="s">
        <v>70</v>
      </c>
    </row>
    <row r="10" spans="1:20">
      <c r="A10">
        <v>1</v>
      </c>
      <c r="B10" s="39" t="s">
        <v>75</v>
      </c>
      <c r="C10">
        <v>3</v>
      </c>
      <c r="D10" s="39" t="s">
        <v>76</v>
      </c>
      <c r="E10" s="39" t="s">
        <v>77</v>
      </c>
      <c r="F10" s="39" t="s">
        <v>62</v>
      </c>
    </row>
    <row r="11" spans="1:20">
      <c r="A11">
        <v>1</v>
      </c>
      <c r="B11" s="39" t="s">
        <v>78</v>
      </c>
      <c r="C11">
        <v>209</v>
      </c>
      <c r="D11" s="39" t="s">
        <v>79</v>
      </c>
      <c r="E11" s="39" t="s">
        <v>77</v>
      </c>
      <c r="F11" s="39" t="s">
        <v>62</v>
      </c>
    </row>
    <row r="12" spans="1:20">
      <c r="A12">
        <v>1</v>
      </c>
      <c r="B12" s="39" t="s">
        <v>80</v>
      </c>
      <c r="C12">
        <v>0</v>
      </c>
      <c r="D12" s="39" t="s">
        <v>66</v>
      </c>
      <c r="E12" s="39" t="s">
        <v>66</v>
      </c>
      <c r="F12" s="39" t="s">
        <v>66</v>
      </c>
    </row>
    <row r="13" spans="1:20">
      <c r="A13">
        <v>1</v>
      </c>
      <c r="B13" s="39" t="s">
        <v>81</v>
      </c>
      <c r="C13">
        <v>0</v>
      </c>
      <c r="D13" s="39" t="s">
        <v>66</v>
      </c>
      <c r="E13" s="39" t="s">
        <v>66</v>
      </c>
      <c r="F13" s="39" t="s">
        <v>66</v>
      </c>
    </row>
    <row r="14" spans="1:20">
      <c r="A14">
        <v>1</v>
      </c>
      <c r="B14" s="39" t="s">
        <v>82</v>
      </c>
      <c r="C14">
        <v>4</v>
      </c>
      <c r="D14" s="39" t="s">
        <v>83</v>
      </c>
      <c r="E14" s="39" t="s">
        <v>77</v>
      </c>
      <c r="F14" s="39" t="s">
        <v>84</v>
      </c>
    </row>
    <row r="15" spans="1:20">
      <c r="A15">
        <v>1</v>
      </c>
      <c r="B15" s="39" t="s">
        <v>85</v>
      </c>
      <c r="C15">
        <v>5</v>
      </c>
      <c r="D15" s="39" t="s">
        <v>86</v>
      </c>
      <c r="E15" s="39" t="s">
        <v>77</v>
      </c>
      <c r="F15" s="39" t="s">
        <v>84</v>
      </c>
    </row>
    <row r="16" spans="1:20">
      <c r="A16">
        <v>1</v>
      </c>
      <c r="B16" s="39" t="s">
        <v>87</v>
      </c>
      <c r="C16">
        <v>0</v>
      </c>
      <c r="D16" s="39" t="s">
        <v>66</v>
      </c>
      <c r="E16" s="39" t="s">
        <v>66</v>
      </c>
      <c r="F16" s="39" t="s">
        <v>66</v>
      </c>
    </row>
    <row r="17" spans="1:6">
      <c r="A17">
        <v>1</v>
      </c>
      <c r="B17" s="39" t="s">
        <v>88</v>
      </c>
      <c r="C17">
        <v>0</v>
      </c>
      <c r="D17" s="39" t="s">
        <v>66</v>
      </c>
      <c r="E17" s="39" t="s">
        <v>66</v>
      </c>
      <c r="F17" s="39" t="s">
        <v>66</v>
      </c>
    </row>
    <row r="18" spans="1:6">
      <c r="A18">
        <v>1</v>
      </c>
      <c r="B18" s="39" t="s">
        <v>89</v>
      </c>
      <c r="C18">
        <v>6</v>
      </c>
      <c r="D18" s="39" t="s">
        <v>90</v>
      </c>
      <c r="E18" s="39" t="s">
        <v>77</v>
      </c>
      <c r="F18" s="39" t="s">
        <v>84</v>
      </c>
    </row>
    <row r="19" spans="1:6">
      <c r="A19">
        <v>1</v>
      </c>
      <c r="B19" s="39" t="s">
        <v>91</v>
      </c>
      <c r="C19">
        <v>7</v>
      </c>
      <c r="D19" s="39" t="s">
        <v>92</v>
      </c>
      <c r="E19" s="39" t="s">
        <v>77</v>
      </c>
      <c r="F19" s="39" t="s">
        <v>84</v>
      </c>
    </row>
    <row r="20" spans="1:6">
      <c r="A20">
        <v>1</v>
      </c>
      <c r="B20" s="39" t="s">
        <v>93</v>
      </c>
      <c r="C20">
        <v>0</v>
      </c>
      <c r="D20" s="39" t="s">
        <v>66</v>
      </c>
      <c r="E20" s="39" t="s">
        <v>66</v>
      </c>
      <c r="F20" s="39" t="s">
        <v>66</v>
      </c>
    </row>
    <row r="21" spans="1:6">
      <c r="A21">
        <v>1</v>
      </c>
      <c r="B21" s="39" t="s">
        <v>94</v>
      </c>
      <c r="C21">
        <v>0</v>
      </c>
      <c r="D21" s="39" t="s">
        <v>66</v>
      </c>
      <c r="E21" s="39" t="s">
        <v>66</v>
      </c>
      <c r="F21" s="39" t="s">
        <v>66</v>
      </c>
    </row>
    <row r="22" spans="1:6">
      <c r="A22">
        <v>1</v>
      </c>
      <c r="B22" s="39" t="s">
        <v>95</v>
      </c>
      <c r="C22">
        <v>17</v>
      </c>
      <c r="D22" s="39" t="s">
        <v>96</v>
      </c>
      <c r="E22" s="39" t="s">
        <v>61</v>
      </c>
      <c r="F22" s="39" t="s">
        <v>97</v>
      </c>
    </row>
    <row r="23" spans="1:6">
      <c r="A23">
        <v>1</v>
      </c>
      <c r="B23" s="39" t="s">
        <v>98</v>
      </c>
      <c r="C23">
        <v>18</v>
      </c>
      <c r="D23" s="39" t="s">
        <v>99</v>
      </c>
      <c r="E23" s="39" t="s">
        <v>61</v>
      </c>
      <c r="F23" s="39" t="s">
        <v>97</v>
      </c>
    </row>
    <row r="24" spans="1:6">
      <c r="A24">
        <v>1</v>
      </c>
      <c r="B24" s="39" t="s">
        <v>100</v>
      </c>
      <c r="C24">
        <v>19</v>
      </c>
      <c r="D24" s="39" t="s">
        <v>101</v>
      </c>
      <c r="E24" s="39" t="s">
        <v>61</v>
      </c>
      <c r="F24" s="39" t="s">
        <v>97</v>
      </c>
    </row>
    <row r="25" spans="1:6">
      <c r="A25">
        <v>1</v>
      </c>
      <c r="B25" s="39" t="s">
        <v>102</v>
      </c>
      <c r="C25">
        <v>20</v>
      </c>
      <c r="D25" s="39" t="s">
        <v>103</v>
      </c>
      <c r="E25" s="39" t="s">
        <v>61</v>
      </c>
      <c r="F25" s="39" t="s">
        <v>97</v>
      </c>
    </row>
    <row r="26" spans="1:6">
      <c r="A26">
        <v>1</v>
      </c>
      <c r="B26" s="39" t="s">
        <v>104</v>
      </c>
      <c r="C26">
        <v>21</v>
      </c>
      <c r="D26" s="39" t="s">
        <v>105</v>
      </c>
      <c r="E26" s="39" t="s">
        <v>61</v>
      </c>
      <c r="F26" s="39" t="s">
        <v>97</v>
      </c>
    </row>
    <row r="27" spans="1:6">
      <c r="A27">
        <v>1</v>
      </c>
      <c r="B27" s="39" t="s">
        <v>106</v>
      </c>
      <c r="C27">
        <v>0</v>
      </c>
      <c r="D27" s="39" t="s">
        <v>66</v>
      </c>
      <c r="E27" s="39" t="s">
        <v>66</v>
      </c>
      <c r="F27" s="39" t="s">
        <v>66</v>
      </c>
    </row>
    <row r="28" spans="1:6">
      <c r="A28">
        <v>1</v>
      </c>
      <c r="B28" s="39" t="s">
        <v>107</v>
      </c>
      <c r="C28">
        <v>0</v>
      </c>
      <c r="D28" s="39" t="s">
        <v>66</v>
      </c>
      <c r="E28" s="39" t="s">
        <v>66</v>
      </c>
      <c r="F28" s="39" t="s">
        <v>66</v>
      </c>
    </row>
    <row r="29" spans="1:6">
      <c r="A29">
        <v>1</v>
      </c>
      <c r="B29" s="39" t="s">
        <v>108</v>
      </c>
      <c r="C29">
        <v>0</v>
      </c>
      <c r="D29" s="39" t="s">
        <v>66</v>
      </c>
      <c r="E29" s="39" t="s">
        <v>66</v>
      </c>
      <c r="F29" s="39" t="s">
        <v>66</v>
      </c>
    </row>
    <row r="30" spans="1:6">
      <c r="A30">
        <v>1</v>
      </c>
      <c r="B30" s="39" t="s">
        <v>109</v>
      </c>
      <c r="C30">
        <v>22</v>
      </c>
      <c r="D30" s="39" t="s">
        <v>110</v>
      </c>
      <c r="E30" s="39" t="s">
        <v>61</v>
      </c>
      <c r="F30" s="39" t="s">
        <v>97</v>
      </c>
    </row>
    <row r="31" spans="1:6">
      <c r="A31">
        <v>1</v>
      </c>
      <c r="B31" s="39" t="s">
        <v>111</v>
      </c>
      <c r="C31">
        <v>23</v>
      </c>
      <c r="D31" s="39" t="s">
        <v>112</v>
      </c>
      <c r="E31" s="39" t="s">
        <v>61</v>
      </c>
      <c r="F31" s="39" t="s">
        <v>97</v>
      </c>
    </row>
    <row r="32" spans="1:6">
      <c r="A32">
        <v>1</v>
      </c>
      <c r="B32" s="39" t="s">
        <v>113</v>
      </c>
      <c r="C32">
        <v>0</v>
      </c>
      <c r="D32" s="39" t="s">
        <v>66</v>
      </c>
      <c r="E32" s="39" t="s">
        <v>66</v>
      </c>
      <c r="F32" s="39" t="s">
        <v>66</v>
      </c>
    </row>
    <row r="33" spans="1:6">
      <c r="A33">
        <v>1</v>
      </c>
      <c r="B33" s="39" t="s">
        <v>114</v>
      </c>
      <c r="C33">
        <v>0</v>
      </c>
      <c r="D33" s="39" t="s">
        <v>66</v>
      </c>
      <c r="E33" s="39" t="s">
        <v>66</v>
      </c>
      <c r="F33" s="39" t="s">
        <v>66</v>
      </c>
    </row>
    <row r="34" spans="1:6">
      <c r="A34">
        <v>1</v>
      </c>
      <c r="B34" s="39" t="s">
        <v>115</v>
      </c>
      <c r="C34">
        <v>24</v>
      </c>
      <c r="D34" s="39" t="s">
        <v>116</v>
      </c>
      <c r="E34" s="39" t="s">
        <v>61</v>
      </c>
      <c r="F34" s="39" t="s">
        <v>97</v>
      </c>
    </row>
    <row r="35" spans="1:6">
      <c r="A35">
        <v>1</v>
      </c>
      <c r="B35" s="39" t="s">
        <v>117</v>
      </c>
      <c r="C35">
        <v>0</v>
      </c>
      <c r="D35" s="39" t="s">
        <v>66</v>
      </c>
      <c r="E35" s="39" t="s">
        <v>66</v>
      </c>
      <c r="F35" s="39" t="s">
        <v>66</v>
      </c>
    </row>
    <row r="36" spans="1:6">
      <c r="A36">
        <v>1</v>
      </c>
      <c r="B36" s="39" t="s">
        <v>118</v>
      </c>
      <c r="C36">
        <v>0</v>
      </c>
      <c r="D36" s="39" t="s">
        <v>66</v>
      </c>
      <c r="E36" s="39" t="s">
        <v>66</v>
      </c>
      <c r="F36" s="39" t="s">
        <v>66</v>
      </c>
    </row>
    <row r="37" spans="1:6">
      <c r="A37">
        <v>1</v>
      </c>
      <c r="B37" s="39" t="s">
        <v>119</v>
      </c>
      <c r="C37">
        <v>0</v>
      </c>
      <c r="D37" s="39" t="s">
        <v>66</v>
      </c>
      <c r="E37" s="39" t="s">
        <v>66</v>
      </c>
      <c r="F37" s="39" t="s">
        <v>66</v>
      </c>
    </row>
    <row r="38" spans="1:6">
      <c r="A38">
        <v>1</v>
      </c>
      <c r="B38" s="39" t="s">
        <v>120</v>
      </c>
      <c r="C38">
        <v>25</v>
      </c>
      <c r="D38" s="39" t="s">
        <v>121</v>
      </c>
      <c r="E38" s="39" t="s">
        <v>61</v>
      </c>
      <c r="F38" s="39" t="s">
        <v>122</v>
      </c>
    </row>
    <row r="39" spans="1:6">
      <c r="A39">
        <v>1</v>
      </c>
      <c r="B39" s="39" t="s">
        <v>123</v>
      </c>
      <c r="C39">
        <v>26</v>
      </c>
      <c r="D39" s="39" t="s">
        <v>124</v>
      </c>
      <c r="E39" s="39" t="s">
        <v>61</v>
      </c>
      <c r="F39" s="39" t="s">
        <v>122</v>
      </c>
    </row>
    <row r="40" spans="1:6">
      <c r="A40">
        <v>1</v>
      </c>
      <c r="B40" s="39" t="s">
        <v>125</v>
      </c>
      <c r="C40">
        <v>27</v>
      </c>
      <c r="D40" s="39" t="s">
        <v>126</v>
      </c>
      <c r="E40" s="39" t="s">
        <v>61</v>
      </c>
      <c r="F40" s="39" t="s">
        <v>122</v>
      </c>
    </row>
    <row r="41" spans="1:6">
      <c r="A41">
        <v>1</v>
      </c>
      <c r="B41" s="39" t="s">
        <v>127</v>
      </c>
      <c r="C41">
        <v>28</v>
      </c>
      <c r="D41" s="39" t="s">
        <v>128</v>
      </c>
      <c r="E41" s="39" t="s">
        <v>61</v>
      </c>
      <c r="F41" s="39" t="s">
        <v>122</v>
      </c>
    </row>
    <row r="42" spans="1:6">
      <c r="A42">
        <v>1</v>
      </c>
      <c r="B42" s="39" t="s">
        <v>129</v>
      </c>
      <c r="C42">
        <v>29</v>
      </c>
      <c r="D42" s="39" t="s">
        <v>130</v>
      </c>
      <c r="E42" s="39" t="s">
        <v>61</v>
      </c>
      <c r="F42" s="39" t="s">
        <v>70</v>
      </c>
    </row>
    <row r="43" spans="1:6">
      <c r="A43">
        <v>1</v>
      </c>
      <c r="B43" s="39" t="s">
        <v>131</v>
      </c>
      <c r="C43">
        <v>30</v>
      </c>
      <c r="D43" s="39" t="s">
        <v>132</v>
      </c>
      <c r="E43" s="39" t="s">
        <v>61</v>
      </c>
      <c r="F43" s="39" t="s">
        <v>70</v>
      </c>
    </row>
    <row r="44" spans="1:6">
      <c r="A44">
        <v>1</v>
      </c>
      <c r="B44" s="39" t="s">
        <v>133</v>
      </c>
      <c r="C44">
        <v>31</v>
      </c>
      <c r="D44" s="39" t="s">
        <v>134</v>
      </c>
      <c r="E44" s="39" t="s">
        <v>61</v>
      </c>
      <c r="F44" s="39" t="s">
        <v>70</v>
      </c>
    </row>
    <row r="45" spans="1:6">
      <c r="A45">
        <v>1</v>
      </c>
      <c r="B45" s="39" t="s">
        <v>135</v>
      </c>
      <c r="C45">
        <v>32</v>
      </c>
      <c r="D45" s="39" t="s">
        <v>136</v>
      </c>
      <c r="E45" s="39" t="s">
        <v>61</v>
      </c>
      <c r="F45" s="39" t="s">
        <v>70</v>
      </c>
    </row>
    <row r="46" spans="1:6">
      <c r="A46">
        <v>1</v>
      </c>
      <c r="B46" s="39" t="s">
        <v>137</v>
      </c>
      <c r="C46">
        <v>0</v>
      </c>
      <c r="D46" s="39" t="s">
        <v>66</v>
      </c>
      <c r="E46" s="39" t="s">
        <v>66</v>
      </c>
      <c r="F46" s="39" t="s">
        <v>66</v>
      </c>
    </row>
    <row r="47" spans="1:6">
      <c r="A47">
        <v>1</v>
      </c>
      <c r="B47" s="39" t="s">
        <v>138</v>
      </c>
      <c r="C47">
        <v>0</v>
      </c>
      <c r="D47" s="39" t="s">
        <v>66</v>
      </c>
      <c r="E47" s="39" t="s">
        <v>66</v>
      </c>
      <c r="F47" s="39" t="s">
        <v>66</v>
      </c>
    </row>
    <row r="48" spans="1:6">
      <c r="A48">
        <v>1</v>
      </c>
      <c r="B48" s="39" t="s">
        <v>139</v>
      </c>
      <c r="C48">
        <v>0</v>
      </c>
      <c r="D48" s="39" t="s">
        <v>66</v>
      </c>
      <c r="E48" s="39" t="s">
        <v>66</v>
      </c>
      <c r="F48" s="39" t="s">
        <v>66</v>
      </c>
    </row>
    <row r="49" spans="1:6">
      <c r="A49">
        <v>1</v>
      </c>
      <c r="B49" s="39" t="s">
        <v>140</v>
      </c>
      <c r="C49">
        <v>0</v>
      </c>
      <c r="D49" s="39" t="s">
        <v>66</v>
      </c>
      <c r="E49" s="39" t="s">
        <v>66</v>
      </c>
      <c r="F49" s="39" t="s">
        <v>66</v>
      </c>
    </row>
    <row r="50" spans="1:6">
      <c r="A50">
        <v>1</v>
      </c>
      <c r="B50" s="39" t="s">
        <v>141</v>
      </c>
      <c r="C50">
        <v>0</v>
      </c>
      <c r="D50" s="39" t="s">
        <v>66</v>
      </c>
      <c r="E50" s="39" t="s">
        <v>66</v>
      </c>
      <c r="F50" s="39" t="s">
        <v>66</v>
      </c>
    </row>
    <row r="51" spans="1:6">
      <c r="A51">
        <v>1</v>
      </c>
      <c r="B51" s="39" t="s">
        <v>142</v>
      </c>
      <c r="C51">
        <v>0</v>
      </c>
      <c r="D51" s="39" t="s">
        <v>66</v>
      </c>
      <c r="E51" s="39" t="s">
        <v>66</v>
      </c>
      <c r="F51" s="39" t="s">
        <v>66</v>
      </c>
    </row>
    <row r="52" spans="1:6">
      <c r="A52">
        <v>1</v>
      </c>
      <c r="B52" s="39" t="s">
        <v>143</v>
      </c>
      <c r="C52">
        <v>0</v>
      </c>
      <c r="D52" s="39" t="s">
        <v>66</v>
      </c>
      <c r="E52" s="39" t="s">
        <v>66</v>
      </c>
      <c r="F52" s="39" t="s">
        <v>66</v>
      </c>
    </row>
    <row r="53" spans="1:6">
      <c r="A53">
        <v>1</v>
      </c>
      <c r="B53" s="39" t="s">
        <v>144</v>
      </c>
      <c r="C53">
        <v>0</v>
      </c>
      <c r="D53" s="39" t="s">
        <v>66</v>
      </c>
      <c r="E53" s="39" t="s">
        <v>66</v>
      </c>
      <c r="F53" s="39" t="s">
        <v>66</v>
      </c>
    </row>
    <row r="54" spans="1:6">
      <c r="A54">
        <v>1</v>
      </c>
      <c r="B54" s="39" t="s">
        <v>145</v>
      </c>
      <c r="C54">
        <v>0</v>
      </c>
      <c r="D54" s="39" t="s">
        <v>66</v>
      </c>
      <c r="E54" s="39" t="s">
        <v>66</v>
      </c>
      <c r="F54" s="39" t="s">
        <v>66</v>
      </c>
    </row>
    <row r="55" spans="1:6">
      <c r="A55">
        <v>1</v>
      </c>
      <c r="B55" s="39" t="s">
        <v>146</v>
      </c>
      <c r="C55">
        <v>0</v>
      </c>
      <c r="D55" s="39" t="s">
        <v>66</v>
      </c>
      <c r="E55" s="39" t="s">
        <v>66</v>
      </c>
      <c r="F55" s="39" t="s">
        <v>66</v>
      </c>
    </row>
    <row r="56" spans="1:6">
      <c r="A56">
        <v>1</v>
      </c>
      <c r="B56" s="39" t="s">
        <v>147</v>
      </c>
      <c r="C56">
        <v>0</v>
      </c>
      <c r="D56" s="39" t="s">
        <v>66</v>
      </c>
      <c r="E56" s="39" t="s">
        <v>66</v>
      </c>
      <c r="F56" s="39" t="s">
        <v>66</v>
      </c>
    </row>
    <row r="57" spans="1:6">
      <c r="A57">
        <v>1</v>
      </c>
      <c r="B57" s="39" t="s">
        <v>148</v>
      </c>
      <c r="C57">
        <v>0</v>
      </c>
      <c r="D57" s="39" t="s">
        <v>66</v>
      </c>
      <c r="E57" s="39" t="s">
        <v>66</v>
      </c>
      <c r="F57" s="39" t="s">
        <v>66</v>
      </c>
    </row>
    <row r="58" spans="1:6">
      <c r="A58">
        <v>1</v>
      </c>
      <c r="B58" s="39" t="s">
        <v>149</v>
      </c>
      <c r="C58">
        <v>0</v>
      </c>
      <c r="D58" s="39" t="s">
        <v>66</v>
      </c>
      <c r="E58" s="39" t="s">
        <v>66</v>
      </c>
      <c r="F58" s="39" t="s">
        <v>66</v>
      </c>
    </row>
    <row r="59" spans="1:6">
      <c r="A59">
        <v>1</v>
      </c>
      <c r="B59" s="39" t="s">
        <v>150</v>
      </c>
      <c r="C59">
        <v>0</v>
      </c>
      <c r="D59" s="39" t="s">
        <v>66</v>
      </c>
      <c r="E59" s="39" t="s">
        <v>66</v>
      </c>
      <c r="F59" s="39" t="s">
        <v>66</v>
      </c>
    </row>
    <row r="60" spans="1:6">
      <c r="A60">
        <v>1</v>
      </c>
      <c r="B60" s="39" t="s">
        <v>151</v>
      </c>
      <c r="C60">
        <v>0</v>
      </c>
      <c r="D60" s="39" t="s">
        <v>66</v>
      </c>
      <c r="E60" s="39" t="s">
        <v>66</v>
      </c>
      <c r="F60" s="39" t="s">
        <v>66</v>
      </c>
    </row>
    <row r="61" spans="1:6">
      <c r="A61">
        <v>1</v>
      </c>
      <c r="B61" s="39" t="s">
        <v>152</v>
      </c>
      <c r="C61">
        <v>0</v>
      </c>
      <c r="D61" s="39" t="s">
        <v>66</v>
      </c>
      <c r="E61" s="39" t="s">
        <v>66</v>
      </c>
      <c r="F61" s="39" t="s">
        <v>66</v>
      </c>
    </row>
    <row r="62" spans="1:6">
      <c r="A62">
        <v>1</v>
      </c>
      <c r="B62" s="39" t="s">
        <v>153</v>
      </c>
      <c r="C62">
        <v>0</v>
      </c>
      <c r="D62" s="39" t="s">
        <v>66</v>
      </c>
      <c r="E62" s="39" t="s">
        <v>66</v>
      </c>
      <c r="F62" s="39" t="s">
        <v>66</v>
      </c>
    </row>
    <row r="63" spans="1:6">
      <c r="A63">
        <v>1</v>
      </c>
      <c r="B63" s="39" t="s">
        <v>154</v>
      </c>
      <c r="C63">
        <v>0</v>
      </c>
      <c r="D63" s="39" t="s">
        <v>66</v>
      </c>
      <c r="E63" s="39" t="s">
        <v>66</v>
      </c>
      <c r="F63" s="39" t="s">
        <v>66</v>
      </c>
    </row>
    <row r="64" spans="1:6">
      <c r="A64">
        <v>1</v>
      </c>
      <c r="B64" s="39" t="s">
        <v>155</v>
      </c>
      <c r="C64">
        <v>0</v>
      </c>
      <c r="D64" s="39" t="s">
        <v>66</v>
      </c>
      <c r="E64" s="39" t="s">
        <v>66</v>
      </c>
      <c r="F64" s="39" t="s">
        <v>66</v>
      </c>
    </row>
    <row r="65" spans="1:6">
      <c r="A65">
        <v>1</v>
      </c>
      <c r="B65" s="39" t="s">
        <v>156</v>
      </c>
      <c r="C65">
        <v>0</v>
      </c>
      <c r="D65" s="39" t="s">
        <v>66</v>
      </c>
      <c r="E65" s="39" t="s">
        <v>66</v>
      </c>
      <c r="F65" s="39" t="s">
        <v>66</v>
      </c>
    </row>
    <row r="66" spans="1:6">
      <c r="A66">
        <v>1</v>
      </c>
      <c r="B66" s="39" t="s">
        <v>157</v>
      </c>
      <c r="C66">
        <v>0</v>
      </c>
      <c r="D66" s="39" t="s">
        <v>66</v>
      </c>
      <c r="E66" s="39" t="s">
        <v>66</v>
      </c>
      <c r="F66" s="39" t="s">
        <v>66</v>
      </c>
    </row>
    <row r="67" spans="1:6">
      <c r="A67">
        <v>1</v>
      </c>
      <c r="B67" s="39" t="s">
        <v>158</v>
      </c>
      <c r="C67">
        <v>0</v>
      </c>
      <c r="D67" s="39" t="s">
        <v>66</v>
      </c>
      <c r="E67" s="39" t="s">
        <v>66</v>
      </c>
      <c r="F67" s="39" t="s">
        <v>66</v>
      </c>
    </row>
    <row r="68" spans="1:6">
      <c r="A68">
        <v>1</v>
      </c>
      <c r="B68" s="39" t="s">
        <v>159</v>
      </c>
      <c r="C68">
        <v>0</v>
      </c>
      <c r="D68" s="39" t="s">
        <v>66</v>
      </c>
      <c r="E68" s="39" t="s">
        <v>66</v>
      </c>
      <c r="F68" s="39" t="s">
        <v>66</v>
      </c>
    </row>
    <row r="69" spans="1:6">
      <c r="A69">
        <v>1</v>
      </c>
      <c r="B69" s="39" t="s">
        <v>160</v>
      </c>
      <c r="C69">
        <v>0</v>
      </c>
      <c r="D69" s="39" t="s">
        <v>66</v>
      </c>
      <c r="E69" s="39" t="s">
        <v>66</v>
      </c>
      <c r="F69" s="39" t="s">
        <v>66</v>
      </c>
    </row>
    <row r="70" spans="1:6">
      <c r="A70">
        <v>1</v>
      </c>
      <c r="B70" s="39" t="s">
        <v>161</v>
      </c>
      <c r="C70">
        <v>0</v>
      </c>
      <c r="D70" s="39" t="s">
        <v>66</v>
      </c>
      <c r="E70" s="39" t="s">
        <v>66</v>
      </c>
      <c r="F70" s="39" t="s">
        <v>66</v>
      </c>
    </row>
    <row r="71" spans="1:6">
      <c r="A71">
        <v>1</v>
      </c>
      <c r="B71" s="39" t="s">
        <v>162</v>
      </c>
      <c r="C71">
        <v>0</v>
      </c>
      <c r="D71" s="39" t="s">
        <v>66</v>
      </c>
      <c r="E71" s="39" t="s">
        <v>66</v>
      </c>
      <c r="F71" s="39" t="s">
        <v>66</v>
      </c>
    </row>
    <row r="72" spans="1:6">
      <c r="A72">
        <v>1</v>
      </c>
      <c r="B72" s="39" t="s">
        <v>163</v>
      </c>
      <c r="C72">
        <v>0</v>
      </c>
      <c r="D72" s="39" t="s">
        <v>66</v>
      </c>
      <c r="E72" s="39" t="s">
        <v>66</v>
      </c>
      <c r="F72" s="39" t="s">
        <v>66</v>
      </c>
    </row>
    <row r="73" spans="1:6">
      <c r="A73">
        <v>1</v>
      </c>
      <c r="B73" s="39" t="s">
        <v>164</v>
      </c>
      <c r="C73">
        <v>0</v>
      </c>
      <c r="D73" s="39" t="s">
        <v>66</v>
      </c>
      <c r="E73" s="39" t="s">
        <v>66</v>
      </c>
      <c r="F73" s="39" t="s">
        <v>66</v>
      </c>
    </row>
    <row r="74" spans="1:6">
      <c r="A74">
        <v>2</v>
      </c>
      <c r="B74" s="39" t="s">
        <v>165</v>
      </c>
      <c r="C74">
        <v>0</v>
      </c>
      <c r="D74" s="39" t="s">
        <v>66</v>
      </c>
      <c r="E74" s="39" t="s">
        <v>66</v>
      </c>
      <c r="F74" s="39" t="s">
        <v>66</v>
      </c>
    </row>
    <row r="75" spans="1:6">
      <c r="A75">
        <v>2</v>
      </c>
      <c r="B75" s="39" t="s">
        <v>166</v>
      </c>
      <c r="C75">
        <v>0</v>
      </c>
      <c r="D75" s="39" t="s">
        <v>66</v>
      </c>
      <c r="E75" s="39" t="s">
        <v>66</v>
      </c>
      <c r="F75" s="39" t="s">
        <v>66</v>
      </c>
    </row>
    <row r="76" spans="1:6">
      <c r="A76">
        <v>2</v>
      </c>
      <c r="B76" s="39" t="s">
        <v>167</v>
      </c>
      <c r="C76">
        <v>0</v>
      </c>
      <c r="D76" s="39" t="s">
        <v>66</v>
      </c>
      <c r="E76" s="39" t="s">
        <v>66</v>
      </c>
      <c r="F76" s="39" t="s">
        <v>66</v>
      </c>
    </row>
    <row r="77" spans="1:6">
      <c r="A77">
        <v>2</v>
      </c>
      <c r="B77" s="39" t="s">
        <v>168</v>
      </c>
      <c r="C77">
        <v>0</v>
      </c>
      <c r="D77" s="39" t="s">
        <v>66</v>
      </c>
      <c r="E77" s="39" t="s">
        <v>66</v>
      </c>
      <c r="F77" s="39" t="s">
        <v>66</v>
      </c>
    </row>
    <row r="78" spans="1:6">
      <c r="A78">
        <v>2</v>
      </c>
      <c r="B78" s="39" t="s">
        <v>169</v>
      </c>
      <c r="C78">
        <v>0</v>
      </c>
      <c r="D78" s="39" t="s">
        <v>66</v>
      </c>
      <c r="E78" s="39" t="s">
        <v>66</v>
      </c>
      <c r="F78" s="39" t="s">
        <v>66</v>
      </c>
    </row>
    <row r="79" spans="1:6">
      <c r="A79">
        <v>2</v>
      </c>
      <c r="B79" s="39" t="s">
        <v>170</v>
      </c>
      <c r="C79">
        <v>0</v>
      </c>
      <c r="D79" s="39" t="s">
        <v>66</v>
      </c>
      <c r="E79" s="39" t="s">
        <v>66</v>
      </c>
      <c r="F79" s="39" t="s">
        <v>66</v>
      </c>
    </row>
    <row r="80" spans="1:6">
      <c r="A80">
        <v>2</v>
      </c>
      <c r="B80" s="39" t="s">
        <v>171</v>
      </c>
      <c r="C80">
        <v>0</v>
      </c>
      <c r="D80" s="39" t="s">
        <v>66</v>
      </c>
      <c r="E80" s="39" t="s">
        <v>66</v>
      </c>
      <c r="F80" s="39" t="s">
        <v>66</v>
      </c>
    </row>
    <row r="81" spans="1:6">
      <c r="A81">
        <v>2</v>
      </c>
      <c r="B81" s="39" t="s">
        <v>172</v>
      </c>
      <c r="C81">
        <v>0</v>
      </c>
      <c r="D81" s="39" t="s">
        <v>66</v>
      </c>
      <c r="E81" s="39" t="s">
        <v>66</v>
      </c>
      <c r="F81" s="39" t="s">
        <v>66</v>
      </c>
    </row>
    <row r="82" spans="1:6">
      <c r="A82">
        <v>3</v>
      </c>
      <c r="B82" s="39" t="s">
        <v>173</v>
      </c>
      <c r="C82">
        <v>0</v>
      </c>
      <c r="D82" s="39" t="s">
        <v>66</v>
      </c>
      <c r="E82" s="39" t="s">
        <v>66</v>
      </c>
      <c r="F82" s="39" t="s">
        <v>66</v>
      </c>
    </row>
    <row r="83" spans="1:6">
      <c r="A83">
        <v>3</v>
      </c>
      <c r="B83" s="39" t="s">
        <v>174</v>
      </c>
      <c r="C83">
        <v>0</v>
      </c>
      <c r="D83" s="39" t="s">
        <v>66</v>
      </c>
      <c r="E83" s="39" t="s">
        <v>66</v>
      </c>
      <c r="F83" s="39" t="s">
        <v>66</v>
      </c>
    </row>
    <row r="84" spans="1:6">
      <c r="A84">
        <v>3</v>
      </c>
      <c r="B84" s="39" t="s">
        <v>175</v>
      </c>
      <c r="C84">
        <v>0</v>
      </c>
      <c r="D84" s="39" t="s">
        <v>66</v>
      </c>
      <c r="E84" s="39" t="s">
        <v>66</v>
      </c>
      <c r="F84" s="39" t="s">
        <v>66</v>
      </c>
    </row>
    <row r="85" spans="1:6">
      <c r="A85">
        <v>3</v>
      </c>
      <c r="B85" s="39" t="s">
        <v>176</v>
      </c>
      <c r="C85">
        <v>0</v>
      </c>
      <c r="D85" s="39" t="s">
        <v>66</v>
      </c>
      <c r="E85" s="39" t="s">
        <v>66</v>
      </c>
      <c r="F85" s="39" t="s">
        <v>66</v>
      </c>
    </row>
    <row r="86" spans="1:6">
      <c r="A86">
        <v>3</v>
      </c>
      <c r="B86" s="39" t="s">
        <v>177</v>
      </c>
      <c r="C86">
        <v>0</v>
      </c>
      <c r="D86" s="39" t="s">
        <v>66</v>
      </c>
      <c r="E86" s="39" t="s">
        <v>66</v>
      </c>
      <c r="F86" s="39" t="s">
        <v>66</v>
      </c>
    </row>
    <row r="87" spans="1:6">
      <c r="A87">
        <v>3</v>
      </c>
      <c r="B87" s="39" t="s">
        <v>178</v>
      </c>
      <c r="C87">
        <v>0</v>
      </c>
      <c r="D87" s="39" t="s">
        <v>66</v>
      </c>
      <c r="E87" s="39" t="s">
        <v>66</v>
      </c>
      <c r="F87" s="39" t="s">
        <v>66</v>
      </c>
    </row>
    <row r="88" spans="1:6">
      <c r="A88">
        <v>3</v>
      </c>
      <c r="B88" s="39" t="s">
        <v>179</v>
      </c>
      <c r="C88">
        <v>0</v>
      </c>
      <c r="D88" s="39" t="s">
        <v>66</v>
      </c>
      <c r="E88" s="39" t="s">
        <v>66</v>
      </c>
      <c r="F88" s="39" t="s">
        <v>66</v>
      </c>
    </row>
    <row r="89" spans="1:6">
      <c r="A89">
        <v>3</v>
      </c>
      <c r="B89" s="39" t="s">
        <v>180</v>
      </c>
      <c r="C89">
        <v>0</v>
      </c>
      <c r="D89" s="39" t="s">
        <v>66</v>
      </c>
      <c r="E89" s="39" t="s">
        <v>66</v>
      </c>
      <c r="F89" s="39" t="s">
        <v>66</v>
      </c>
    </row>
    <row r="90" spans="1:6">
      <c r="A90">
        <v>4</v>
      </c>
      <c r="B90" s="39" t="s">
        <v>181</v>
      </c>
      <c r="C90">
        <v>0</v>
      </c>
      <c r="D90" s="39" t="s">
        <v>66</v>
      </c>
      <c r="E90" s="39" t="s">
        <v>66</v>
      </c>
      <c r="F90" s="39" t="s">
        <v>66</v>
      </c>
    </row>
    <row r="91" spans="1:6">
      <c r="A91">
        <v>4</v>
      </c>
      <c r="B91" s="39" t="s">
        <v>182</v>
      </c>
      <c r="C91">
        <v>0</v>
      </c>
      <c r="D91" s="39" t="s">
        <v>66</v>
      </c>
      <c r="E91" s="39" t="s">
        <v>66</v>
      </c>
      <c r="F91" s="39" t="s">
        <v>66</v>
      </c>
    </row>
    <row r="92" spans="1:6">
      <c r="A92">
        <v>4</v>
      </c>
      <c r="B92" s="39" t="s">
        <v>183</v>
      </c>
      <c r="C92">
        <v>0</v>
      </c>
      <c r="D92" s="39" t="s">
        <v>66</v>
      </c>
      <c r="E92" s="39" t="s">
        <v>66</v>
      </c>
      <c r="F92" s="39" t="s">
        <v>66</v>
      </c>
    </row>
    <row r="93" spans="1:6">
      <c r="A93">
        <v>4</v>
      </c>
      <c r="B93" s="39" t="s">
        <v>184</v>
      </c>
      <c r="C93">
        <v>0</v>
      </c>
      <c r="D93" s="39" t="s">
        <v>66</v>
      </c>
      <c r="E93" s="39" t="s">
        <v>66</v>
      </c>
      <c r="F93" s="39" t="s">
        <v>66</v>
      </c>
    </row>
    <row r="94" spans="1:6">
      <c r="A94">
        <v>4</v>
      </c>
      <c r="B94" s="39" t="s">
        <v>185</v>
      </c>
      <c r="C94">
        <v>0</v>
      </c>
      <c r="D94" s="39" t="s">
        <v>66</v>
      </c>
      <c r="E94" s="39" t="s">
        <v>66</v>
      </c>
      <c r="F94" s="39" t="s">
        <v>66</v>
      </c>
    </row>
    <row r="95" spans="1:6">
      <c r="A95">
        <v>4</v>
      </c>
      <c r="B95" s="39" t="s">
        <v>186</v>
      </c>
      <c r="C95">
        <v>0</v>
      </c>
      <c r="D95" s="39" t="s">
        <v>66</v>
      </c>
      <c r="E95" s="39" t="s">
        <v>66</v>
      </c>
      <c r="F95" s="39" t="s">
        <v>66</v>
      </c>
    </row>
    <row r="96" spans="1:6">
      <c r="A96">
        <v>4</v>
      </c>
      <c r="B96" s="39" t="s">
        <v>187</v>
      </c>
      <c r="C96">
        <v>0</v>
      </c>
      <c r="D96" s="39" t="s">
        <v>66</v>
      </c>
      <c r="E96" s="39" t="s">
        <v>66</v>
      </c>
      <c r="F96" s="39" t="s">
        <v>66</v>
      </c>
    </row>
    <row r="97" spans="1:6">
      <c r="A97">
        <v>4</v>
      </c>
      <c r="B97" s="39" t="s">
        <v>188</v>
      </c>
      <c r="C97">
        <v>0</v>
      </c>
      <c r="D97" s="39" t="s">
        <v>66</v>
      </c>
      <c r="E97" s="39" t="s">
        <v>66</v>
      </c>
      <c r="F97" s="39" t="s">
        <v>66</v>
      </c>
    </row>
    <row r="98" spans="1:6">
      <c r="A98">
        <v>5</v>
      </c>
      <c r="B98" s="39" t="s">
        <v>189</v>
      </c>
      <c r="C98">
        <v>0</v>
      </c>
      <c r="D98" s="39" t="s">
        <v>66</v>
      </c>
      <c r="E98" s="39" t="s">
        <v>66</v>
      </c>
      <c r="F98" s="39" t="s">
        <v>66</v>
      </c>
    </row>
    <row r="99" spans="1:6">
      <c r="A99">
        <v>5</v>
      </c>
      <c r="B99" s="39" t="s">
        <v>190</v>
      </c>
      <c r="C99">
        <v>0</v>
      </c>
      <c r="D99" s="39" t="s">
        <v>66</v>
      </c>
      <c r="E99" s="39" t="s">
        <v>66</v>
      </c>
      <c r="F99" s="39" t="s">
        <v>66</v>
      </c>
    </row>
    <row r="100" spans="1:6">
      <c r="A100">
        <v>5</v>
      </c>
      <c r="B100" s="39" t="s">
        <v>191</v>
      </c>
      <c r="C100">
        <v>0</v>
      </c>
      <c r="D100" s="39" t="s">
        <v>66</v>
      </c>
      <c r="E100" s="39" t="s">
        <v>66</v>
      </c>
      <c r="F100" s="39" t="s">
        <v>66</v>
      </c>
    </row>
    <row r="101" spans="1:6">
      <c r="A101">
        <v>5</v>
      </c>
      <c r="B101" s="39" t="s">
        <v>192</v>
      </c>
      <c r="C101">
        <v>0</v>
      </c>
      <c r="D101" s="39" t="s">
        <v>66</v>
      </c>
      <c r="E101" s="39" t="s">
        <v>66</v>
      </c>
      <c r="F101" s="39" t="s">
        <v>66</v>
      </c>
    </row>
    <row r="102" spans="1:6">
      <c r="A102">
        <v>5</v>
      </c>
      <c r="B102" s="39" t="s">
        <v>193</v>
      </c>
      <c r="C102">
        <v>0</v>
      </c>
      <c r="D102" s="39" t="s">
        <v>66</v>
      </c>
      <c r="E102" s="39" t="s">
        <v>66</v>
      </c>
      <c r="F102" s="39" t="s">
        <v>66</v>
      </c>
    </row>
    <row r="103" spans="1:6">
      <c r="A103">
        <v>5</v>
      </c>
      <c r="B103" s="39" t="s">
        <v>194</v>
      </c>
      <c r="C103">
        <v>0</v>
      </c>
      <c r="D103" s="39" t="s">
        <v>66</v>
      </c>
      <c r="E103" s="39" t="s">
        <v>66</v>
      </c>
      <c r="F103" s="39" t="s">
        <v>66</v>
      </c>
    </row>
    <row r="104" spans="1:6">
      <c r="A104">
        <v>5</v>
      </c>
      <c r="B104" s="39" t="s">
        <v>195</v>
      </c>
      <c r="C104">
        <v>0</v>
      </c>
      <c r="D104" s="39" t="s">
        <v>66</v>
      </c>
      <c r="E104" s="39" t="s">
        <v>66</v>
      </c>
      <c r="F104" s="39" t="s">
        <v>66</v>
      </c>
    </row>
    <row r="105" spans="1:6">
      <c r="A105">
        <v>5</v>
      </c>
      <c r="B105" s="39" t="s">
        <v>196</v>
      </c>
      <c r="C105">
        <v>0</v>
      </c>
      <c r="D105" s="39" t="s">
        <v>66</v>
      </c>
      <c r="E105" s="39" t="s">
        <v>66</v>
      </c>
      <c r="F105" s="39" t="s">
        <v>66</v>
      </c>
    </row>
    <row r="106" spans="1:6">
      <c r="A106">
        <v>6</v>
      </c>
      <c r="B106" s="39" t="s">
        <v>197</v>
      </c>
      <c r="C106">
        <v>0</v>
      </c>
      <c r="D106" s="39" t="s">
        <v>66</v>
      </c>
      <c r="E106" s="39" t="s">
        <v>66</v>
      </c>
      <c r="F106" s="39" t="s">
        <v>66</v>
      </c>
    </row>
    <row r="107" spans="1:6">
      <c r="A107">
        <v>6</v>
      </c>
      <c r="B107" s="39" t="s">
        <v>198</v>
      </c>
      <c r="C107">
        <v>0</v>
      </c>
      <c r="D107" s="39" t="s">
        <v>66</v>
      </c>
      <c r="E107" s="39" t="s">
        <v>66</v>
      </c>
      <c r="F107" s="39" t="s">
        <v>66</v>
      </c>
    </row>
    <row r="108" spans="1:6">
      <c r="A108">
        <v>6</v>
      </c>
      <c r="B108" s="39" t="s">
        <v>199</v>
      </c>
      <c r="C108">
        <v>0</v>
      </c>
      <c r="D108" s="39" t="s">
        <v>66</v>
      </c>
      <c r="E108" s="39" t="s">
        <v>66</v>
      </c>
      <c r="F108" s="39" t="s">
        <v>66</v>
      </c>
    </row>
    <row r="109" spans="1:6">
      <c r="A109">
        <v>6</v>
      </c>
      <c r="B109" s="39" t="s">
        <v>200</v>
      </c>
      <c r="C109">
        <v>0</v>
      </c>
      <c r="D109" s="39" t="s">
        <v>66</v>
      </c>
      <c r="E109" s="39" t="s">
        <v>66</v>
      </c>
      <c r="F109" s="39" t="s">
        <v>66</v>
      </c>
    </row>
    <row r="110" spans="1:6">
      <c r="A110">
        <v>6</v>
      </c>
      <c r="B110" s="39" t="s">
        <v>201</v>
      </c>
      <c r="C110">
        <v>0</v>
      </c>
      <c r="D110" s="39" t="s">
        <v>66</v>
      </c>
      <c r="E110" s="39" t="s">
        <v>66</v>
      </c>
      <c r="F110" s="39" t="s">
        <v>66</v>
      </c>
    </row>
    <row r="111" spans="1:6">
      <c r="A111">
        <v>6</v>
      </c>
      <c r="B111" s="39" t="s">
        <v>202</v>
      </c>
      <c r="C111">
        <v>0</v>
      </c>
      <c r="D111" s="39" t="s">
        <v>66</v>
      </c>
      <c r="E111" s="39" t="s">
        <v>66</v>
      </c>
      <c r="F111" s="39" t="s">
        <v>66</v>
      </c>
    </row>
    <row r="112" spans="1:6">
      <c r="A112">
        <v>6</v>
      </c>
      <c r="B112" s="39" t="s">
        <v>203</v>
      </c>
      <c r="C112">
        <v>0</v>
      </c>
      <c r="D112" s="39" t="s">
        <v>66</v>
      </c>
      <c r="E112" s="39" t="s">
        <v>66</v>
      </c>
      <c r="F112" s="39" t="s">
        <v>66</v>
      </c>
    </row>
    <row r="113" spans="1:6">
      <c r="A113">
        <v>6</v>
      </c>
      <c r="B113" s="39" t="s">
        <v>204</v>
      </c>
      <c r="C113">
        <v>0</v>
      </c>
      <c r="D113" s="39" t="s">
        <v>66</v>
      </c>
      <c r="E113" s="39" t="s">
        <v>66</v>
      </c>
      <c r="F113" s="39" t="s">
        <v>66</v>
      </c>
    </row>
    <row r="114" spans="1:6">
      <c r="A114">
        <v>7</v>
      </c>
      <c r="B114" s="39" t="s">
        <v>205</v>
      </c>
      <c r="C114">
        <v>0</v>
      </c>
      <c r="D114" s="39" t="s">
        <v>66</v>
      </c>
      <c r="E114" s="39" t="s">
        <v>66</v>
      </c>
      <c r="F114" s="39" t="s">
        <v>66</v>
      </c>
    </row>
    <row r="115" spans="1:6">
      <c r="A115">
        <v>7</v>
      </c>
      <c r="B115" s="39" t="s">
        <v>206</v>
      </c>
      <c r="C115">
        <v>0</v>
      </c>
      <c r="D115" s="39" t="s">
        <v>66</v>
      </c>
      <c r="E115" s="39" t="s">
        <v>66</v>
      </c>
      <c r="F115" s="39" t="s">
        <v>66</v>
      </c>
    </row>
    <row r="116" spans="1:6">
      <c r="A116">
        <v>7</v>
      </c>
      <c r="B116" s="39" t="s">
        <v>207</v>
      </c>
      <c r="C116">
        <v>0</v>
      </c>
      <c r="D116" s="39" t="s">
        <v>66</v>
      </c>
      <c r="E116" s="39" t="s">
        <v>66</v>
      </c>
      <c r="F116" s="39" t="s">
        <v>66</v>
      </c>
    </row>
    <row r="117" spans="1:6">
      <c r="A117">
        <v>7</v>
      </c>
      <c r="B117" s="39" t="s">
        <v>208</v>
      </c>
      <c r="C117">
        <v>0</v>
      </c>
      <c r="D117" s="39" t="s">
        <v>66</v>
      </c>
      <c r="E117" s="39" t="s">
        <v>66</v>
      </c>
      <c r="F117" s="39" t="s">
        <v>66</v>
      </c>
    </row>
    <row r="118" spans="1:6">
      <c r="A118">
        <v>7</v>
      </c>
      <c r="B118" s="39" t="s">
        <v>209</v>
      </c>
      <c r="C118">
        <v>0</v>
      </c>
      <c r="D118" s="39" t="s">
        <v>66</v>
      </c>
      <c r="E118" s="39" t="s">
        <v>66</v>
      </c>
      <c r="F118" s="39" t="s">
        <v>66</v>
      </c>
    </row>
    <row r="119" spans="1:6">
      <c r="A119">
        <v>7</v>
      </c>
      <c r="B119" s="39" t="s">
        <v>210</v>
      </c>
      <c r="C119">
        <v>0</v>
      </c>
      <c r="D119" s="39" t="s">
        <v>66</v>
      </c>
      <c r="E119" s="39" t="s">
        <v>66</v>
      </c>
      <c r="F119" s="39" t="s">
        <v>66</v>
      </c>
    </row>
    <row r="120" spans="1:6">
      <c r="A120">
        <v>7</v>
      </c>
      <c r="B120" s="39" t="s">
        <v>211</v>
      </c>
      <c r="C120">
        <v>0</v>
      </c>
      <c r="D120" s="39" t="s">
        <v>66</v>
      </c>
      <c r="E120" s="39" t="s">
        <v>66</v>
      </c>
      <c r="F120" s="39" t="s">
        <v>66</v>
      </c>
    </row>
    <row r="121" spans="1:6">
      <c r="A121">
        <v>7</v>
      </c>
      <c r="B121" s="39" t="s">
        <v>212</v>
      </c>
      <c r="C121">
        <v>0</v>
      </c>
      <c r="D121" s="39" t="s">
        <v>66</v>
      </c>
      <c r="E121" s="39" t="s">
        <v>66</v>
      </c>
      <c r="F121" s="39" t="s">
        <v>66</v>
      </c>
    </row>
    <row r="122" spans="1:6">
      <c r="A122">
        <v>8</v>
      </c>
      <c r="B122" s="39" t="s">
        <v>213</v>
      </c>
      <c r="C122">
        <v>0</v>
      </c>
      <c r="D122" s="39" t="s">
        <v>66</v>
      </c>
      <c r="E122" s="39" t="s">
        <v>66</v>
      </c>
      <c r="F122" s="39" t="s">
        <v>66</v>
      </c>
    </row>
    <row r="123" spans="1:6">
      <c r="A123">
        <v>8</v>
      </c>
      <c r="B123" s="39" t="s">
        <v>214</v>
      </c>
      <c r="C123">
        <v>0</v>
      </c>
      <c r="D123" s="39" t="s">
        <v>66</v>
      </c>
      <c r="E123" s="39" t="s">
        <v>66</v>
      </c>
      <c r="F123" s="39" t="s">
        <v>66</v>
      </c>
    </row>
    <row r="124" spans="1:6">
      <c r="A124">
        <v>8</v>
      </c>
      <c r="B124" s="39" t="s">
        <v>215</v>
      </c>
      <c r="C124">
        <v>0</v>
      </c>
      <c r="D124" s="39" t="s">
        <v>66</v>
      </c>
      <c r="E124" s="39" t="s">
        <v>66</v>
      </c>
      <c r="F124" s="39" t="s">
        <v>66</v>
      </c>
    </row>
    <row r="125" spans="1:6">
      <c r="A125">
        <v>8</v>
      </c>
      <c r="B125" s="39" t="s">
        <v>216</v>
      </c>
      <c r="C125">
        <v>0</v>
      </c>
      <c r="D125" s="39" t="s">
        <v>66</v>
      </c>
      <c r="E125" s="39" t="s">
        <v>66</v>
      </c>
      <c r="F125" s="39" t="s">
        <v>66</v>
      </c>
    </row>
    <row r="126" spans="1:6">
      <c r="A126">
        <v>8</v>
      </c>
      <c r="B126" s="39" t="s">
        <v>217</v>
      </c>
      <c r="C126">
        <v>0</v>
      </c>
      <c r="D126" s="39" t="s">
        <v>66</v>
      </c>
      <c r="E126" s="39" t="s">
        <v>66</v>
      </c>
      <c r="F126" s="39" t="s">
        <v>66</v>
      </c>
    </row>
    <row r="127" spans="1:6">
      <c r="A127">
        <v>8</v>
      </c>
      <c r="B127" s="39" t="s">
        <v>218</v>
      </c>
      <c r="C127">
        <v>0</v>
      </c>
      <c r="D127" s="39" t="s">
        <v>66</v>
      </c>
      <c r="E127" s="39" t="s">
        <v>66</v>
      </c>
      <c r="F127" s="39" t="s">
        <v>66</v>
      </c>
    </row>
    <row r="128" spans="1:6">
      <c r="A128">
        <v>8</v>
      </c>
      <c r="B128" s="39" t="s">
        <v>219</v>
      </c>
      <c r="C128">
        <v>0</v>
      </c>
      <c r="D128" s="39" t="s">
        <v>66</v>
      </c>
      <c r="E128" s="39" t="s">
        <v>66</v>
      </c>
      <c r="F128" s="39" t="s">
        <v>66</v>
      </c>
    </row>
    <row r="129" spans="1:6">
      <c r="A129">
        <v>8</v>
      </c>
      <c r="B129" s="39" t="s">
        <v>220</v>
      </c>
      <c r="C129">
        <v>0</v>
      </c>
      <c r="D129" s="39" t="s">
        <v>66</v>
      </c>
      <c r="E129" s="39" t="s">
        <v>66</v>
      </c>
      <c r="F129" s="39" t="s">
        <v>66</v>
      </c>
    </row>
    <row r="130" spans="1:6">
      <c r="A130">
        <v>9</v>
      </c>
      <c r="B130" s="39" t="s">
        <v>221</v>
      </c>
      <c r="C130">
        <v>0</v>
      </c>
      <c r="D130" s="39" t="s">
        <v>66</v>
      </c>
      <c r="E130" s="39" t="s">
        <v>66</v>
      </c>
      <c r="F130" s="39" t="s">
        <v>66</v>
      </c>
    </row>
    <row r="131" spans="1:6">
      <c r="A131">
        <v>9</v>
      </c>
      <c r="B131" s="39" t="s">
        <v>222</v>
      </c>
      <c r="C131">
        <v>0</v>
      </c>
      <c r="D131" s="39" t="s">
        <v>66</v>
      </c>
      <c r="E131" s="39" t="s">
        <v>66</v>
      </c>
      <c r="F131" s="39" t="s">
        <v>66</v>
      </c>
    </row>
    <row r="132" spans="1:6">
      <c r="A132">
        <v>9</v>
      </c>
      <c r="B132" s="39" t="s">
        <v>223</v>
      </c>
      <c r="C132">
        <v>0</v>
      </c>
      <c r="D132" s="39" t="s">
        <v>66</v>
      </c>
      <c r="E132" s="39" t="s">
        <v>66</v>
      </c>
      <c r="F132" s="39" t="s">
        <v>66</v>
      </c>
    </row>
    <row r="133" spans="1:6">
      <c r="A133">
        <v>9</v>
      </c>
      <c r="B133" s="39" t="s">
        <v>224</v>
      </c>
      <c r="C133">
        <v>0</v>
      </c>
      <c r="D133" s="39" t="s">
        <v>66</v>
      </c>
      <c r="E133" s="39" t="s">
        <v>66</v>
      </c>
      <c r="F133" s="39" t="s">
        <v>66</v>
      </c>
    </row>
    <row r="134" spans="1:6">
      <c r="A134">
        <v>9</v>
      </c>
      <c r="B134" s="39" t="s">
        <v>225</v>
      </c>
      <c r="C134">
        <v>0</v>
      </c>
      <c r="D134" s="39" t="s">
        <v>66</v>
      </c>
      <c r="E134" s="39" t="s">
        <v>66</v>
      </c>
      <c r="F134" s="39" t="s">
        <v>66</v>
      </c>
    </row>
    <row r="135" spans="1:6">
      <c r="A135">
        <v>9</v>
      </c>
      <c r="B135" s="39" t="s">
        <v>226</v>
      </c>
      <c r="C135">
        <v>0</v>
      </c>
      <c r="D135" s="39" t="s">
        <v>66</v>
      </c>
      <c r="E135" s="39" t="s">
        <v>66</v>
      </c>
      <c r="F135" s="39" t="s">
        <v>66</v>
      </c>
    </row>
    <row r="136" spans="1:6">
      <c r="A136">
        <v>9</v>
      </c>
      <c r="B136" s="39" t="s">
        <v>227</v>
      </c>
      <c r="C136">
        <v>0</v>
      </c>
      <c r="D136" s="39" t="s">
        <v>66</v>
      </c>
      <c r="E136" s="39" t="s">
        <v>66</v>
      </c>
      <c r="F136" s="39" t="s">
        <v>66</v>
      </c>
    </row>
    <row r="137" spans="1:6">
      <c r="A137">
        <v>9</v>
      </c>
      <c r="B137" s="39" t="s">
        <v>228</v>
      </c>
      <c r="C137">
        <v>0</v>
      </c>
      <c r="D137" s="39" t="s">
        <v>66</v>
      </c>
      <c r="E137" s="39" t="s">
        <v>66</v>
      </c>
      <c r="F137" s="39" t="s">
        <v>66</v>
      </c>
    </row>
    <row r="138" spans="1:6">
      <c r="A138">
        <v>10</v>
      </c>
      <c r="B138" s="39" t="s">
        <v>229</v>
      </c>
      <c r="C138">
        <v>0</v>
      </c>
      <c r="D138" s="39" t="s">
        <v>66</v>
      </c>
      <c r="E138" s="39" t="s">
        <v>66</v>
      </c>
      <c r="F138" s="39" t="s">
        <v>66</v>
      </c>
    </row>
    <row r="139" spans="1:6">
      <c r="A139">
        <v>10</v>
      </c>
      <c r="B139" s="39" t="s">
        <v>230</v>
      </c>
      <c r="C139">
        <v>0</v>
      </c>
      <c r="D139" s="39" t="s">
        <v>66</v>
      </c>
      <c r="E139" s="39" t="s">
        <v>66</v>
      </c>
      <c r="F139" s="39" t="s">
        <v>66</v>
      </c>
    </row>
    <row r="140" spans="1:6">
      <c r="A140">
        <v>10</v>
      </c>
      <c r="B140" s="39" t="s">
        <v>231</v>
      </c>
      <c r="C140">
        <v>0</v>
      </c>
      <c r="D140" s="39" t="s">
        <v>66</v>
      </c>
      <c r="E140" s="39" t="s">
        <v>66</v>
      </c>
      <c r="F140" s="39" t="s">
        <v>66</v>
      </c>
    </row>
    <row r="141" spans="1:6">
      <c r="A141">
        <v>10</v>
      </c>
      <c r="B141" s="39" t="s">
        <v>232</v>
      </c>
      <c r="C141">
        <v>0</v>
      </c>
      <c r="D141" s="39" t="s">
        <v>66</v>
      </c>
      <c r="E141" s="39" t="s">
        <v>66</v>
      </c>
      <c r="F141" s="39" t="s">
        <v>66</v>
      </c>
    </row>
    <row r="142" spans="1:6">
      <c r="A142">
        <v>10</v>
      </c>
      <c r="B142" s="39" t="s">
        <v>233</v>
      </c>
      <c r="C142">
        <v>0</v>
      </c>
      <c r="D142" s="39" t="s">
        <v>66</v>
      </c>
      <c r="E142" s="39" t="s">
        <v>66</v>
      </c>
      <c r="F142" s="39" t="s">
        <v>66</v>
      </c>
    </row>
    <row r="143" spans="1:6">
      <c r="A143">
        <v>10</v>
      </c>
      <c r="B143" s="39" t="s">
        <v>234</v>
      </c>
      <c r="C143">
        <v>0</v>
      </c>
      <c r="D143" s="39" t="s">
        <v>66</v>
      </c>
      <c r="E143" s="39" t="s">
        <v>66</v>
      </c>
      <c r="F143" s="39" t="s">
        <v>66</v>
      </c>
    </row>
    <row r="144" spans="1:6">
      <c r="A144">
        <v>10</v>
      </c>
      <c r="B144" s="39" t="s">
        <v>235</v>
      </c>
      <c r="C144">
        <v>0</v>
      </c>
      <c r="D144" s="39" t="s">
        <v>66</v>
      </c>
      <c r="E144" s="39" t="s">
        <v>66</v>
      </c>
      <c r="F144" s="39" t="s">
        <v>66</v>
      </c>
    </row>
    <row r="145" spans="1:6">
      <c r="A145">
        <v>10</v>
      </c>
      <c r="B145" s="39" t="s">
        <v>236</v>
      </c>
      <c r="C145">
        <v>0</v>
      </c>
      <c r="D145" s="39" t="s">
        <v>66</v>
      </c>
      <c r="E145" s="39" t="s">
        <v>66</v>
      </c>
      <c r="F145" s="39" t="s">
        <v>66</v>
      </c>
    </row>
  </sheetData>
  <pageMargins left="0.7" right="0.7" top="0.75" bottom="0.75" header="0.3" footer="0.3"/>
  <pageSetup orientation="landscape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6B4023-F2E2-47E4-92AE-21B23A8262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DATA</vt:lpstr>
      <vt:lpstr>NODE40</vt:lpstr>
      <vt:lpstr>NODE32</vt:lpstr>
      <vt:lpstr>NODE24</vt:lpstr>
      <vt:lpstr>NODE16</vt:lpstr>
      <vt:lpstr>NPU40</vt:lpstr>
      <vt:lpstr>Parameters</vt:lpstr>
      <vt:lpstr>Data Patch</vt:lpstr>
      <vt:lpstr>cwd</vt:lpstr>
      <vt:lpstr>Data_Patch_Color_Lookup</vt:lpstr>
      <vt:lpstr>Data_Patch_Lookup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Charlie Hall</cp:lastModifiedBy>
  <cp:revision/>
  <cp:lastPrinted>2026-03-15T07:37:55Z</cp:lastPrinted>
  <dcterms:created xsi:type="dcterms:W3CDTF">2022-11-24T10:23:16Z</dcterms:created>
  <dcterms:modified xsi:type="dcterms:W3CDTF">2026-03-15T07:38:51Z</dcterms:modified>
  <cp:category/>
  <cp:contentStatus/>
</cp:coreProperties>
</file>